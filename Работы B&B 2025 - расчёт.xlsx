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Итоги" sheetId="1" state="visible" r:id="rId3"/>
    <sheet name="Аудит" sheetId="2" state="visible" r:id="rId4"/>
    <sheet name="B&amp;B апрель 2025" sheetId="3" state="visible" r:id="rId5"/>
    <sheet name="Dups+ B&amp;B Rates" sheetId="4" state="visible" r:id="rId6"/>
    <sheet name="Платежи" sheetId="5" state="visible" r:id="rId7"/>
    <sheet name="Рынок" sheetId="6" state="visible" r:id="rId8"/>
  </sheets>
  <definedNames>
    <definedName function="false" hidden="true" localSheetId="2" name="_xlnm._FilterDatabase" vbProcedure="false">'B&amp;B апрель 2025'!$A$1:$F$1311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<sst xmlns="http://schemas.openxmlformats.org/spreadsheetml/2006/main" count="3065" uniqueCount="737">
  <si>
    <t xml:space="preserve">Комната</t>
  </si>
  <si>
    <t xml:space="preserve">Итого, $</t>
  </si>
  <si>
    <t xml:space="preserve">По рыночным ценам, $</t>
  </si>
  <si>
    <t xml:space="preserve">Разница, $</t>
  </si>
  <si>
    <t xml:space="preserve">Анин гардероб</t>
  </si>
  <si>
    <t xml:space="preserve">Анина ванная</t>
  </si>
  <si>
    <t xml:space="preserve">Анина спальня</t>
  </si>
  <si>
    <t xml:space="preserve">Мастер-спальня</t>
  </si>
  <si>
    <t xml:space="preserve">Мастер спальня</t>
  </si>
  <si>
    <t xml:space="preserve">Часовня</t>
  </si>
  <si>
    <t xml:space="preserve">Балка часовня</t>
  </si>
  <si>
    <t xml:space="preserve">Фойе 2 эт</t>
  </si>
  <si>
    <t xml:space="preserve">Прачечная 2 эт</t>
  </si>
  <si>
    <t xml:space="preserve">Коридор 2 эт - ванная</t>
  </si>
  <si>
    <t xml:space="preserve">Ванная 2 эт</t>
  </si>
  <si>
    <t xml:space="preserve">Коридор 2 эт - потолок</t>
  </si>
  <si>
    <t xml:space="preserve">Сашина спальня</t>
  </si>
  <si>
    <t xml:space="preserve">Серёжина спальня</t>
  </si>
  <si>
    <t xml:space="preserve">Коридор 2 эт - ПОЛ</t>
  </si>
  <si>
    <t xml:space="preserve">Коридор 2 эт - стены</t>
  </si>
  <si>
    <t xml:space="preserve">Стена лестн. 2 эт</t>
  </si>
  <si>
    <t xml:space="preserve">Перег. лестн. 2 эт</t>
  </si>
  <si>
    <t xml:space="preserve">Зал стены</t>
  </si>
  <si>
    <t xml:space="preserve">Зал потолок</t>
  </si>
  <si>
    <t xml:space="preserve">Зал-балка из узкого коридора</t>
  </si>
  <si>
    <t xml:space="preserve">Широкий коридор 1 этаж</t>
  </si>
  <si>
    <t xml:space="preserve">Широк.корид.1 этаж Балка</t>
  </si>
  <si>
    <t xml:space="preserve">Узкий коридор 1 этаж</t>
  </si>
  <si>
    <t xml:space="preserve">Узкий коридор 1 этаж балка</t>
  </si>
  <si>
    <t xml:space="preserve">Тамбур</t>
  </si>
  <si>
    <t xml:space="preserve">Холл перед кухней</t>
  </si>
  <si>
    <t xml:space="preserve">Балка столовая</t>
  </si>
  <si>
    <t xml:space="preserve">Наташин кабинет</t>
  </si>
  <si>
    <t xml:space="preserve">Кухня</t>
  </si>
  <si>
    <t xml:space="preserve">Прачечная 1эт.</t>
  </si>
  <si>
    <t xml:space="preserve">Холл перед столовой</t>
  </si>
  <si>
    <t xml:space="preserve">Столовая-потолок</t>
  </si>
  <si>
    <t xml:space="preserve">Столовая стены</t>
  </si>
  <si>
    <t xml:space="preserve">Столовая-стены</t>
  </si>
  <si>
    <t xml:space="preserve">Столовая-внутр углы</t>
  </si>
  <si>
    <t xml:space="preserve">Столовая-откосы</t>
  </si>
  <si>
    <t xml:space="preserve">Общие работы</t>
  </si>
  <si>
    <t xml:space="preserve">Канализация подвал</t>
  </si>
  <si>
    <t xml:space="preserve">Подвал, лестница</t>
  </si>
  <si>
    <t xml:space="preserve">ВСЕГО, $</t>
  </si>
  <si>
    <t xml:space="preserve">Оплачено, $ (лист «Платежи»)</t>
  </si>
  <si>
    <t xml:space="preserve">Баланс: работы − оплата, $</t>
  </si>
  <si>
    <t xml:space="preserve">Примечание: без разовых работ и без 14 строк без расценки</t>
  </si>
  <si>
    <t xml:space="preserve">Помещение</t>
  </si>
  <si>
    <t xml:space="preserve">Поверхность</t>
  </si>
  <si>
    <t xml:space="preserve">Грунтовка, м2</t>
  </si>
  <si>
    <t xml:space="preserve">Покраска (1 слой), м2</t>
  </si>
  <si>
    <t xml:space="preserve">Разница, м2</t>
  </si>
  <si>
    <t xml:space="preserve">Статус</t>
  </si>
  <si>
    <t xml:space="preserve">Строки грунт</t>
  </si>
  <si>
    <t xml:space="preserve">Строки покраска</t>
  </si>
  <si>
    <t xml:space="preserve">потолок</t>
  </si>
  <si>
    <t xml:space="preserve">OK</t>
  </si>
  <si>
    <t xml:space="preserve">11</t>
  </si>
  <si>
    <t xml:space="preserve">13</t>
  </si>
  <si>
    <t xml:space="preserve">стены</t>
  </si>
  <si>
    <t xml:space="preserve">10</t>
  </si>
  <si>
    <t xml:space="preserve">12</t>
  </si>
  <si>
    <t xml:space="preserve">Анина спальня/ванная</t>
  </si>
  <si>
    <t xml:space="preserve">24</t>
  </si>
  <si>
    <t xml:space="preserve">25</t>
  </si>
  <si>
    <t xml:space="preserve">18</t>
  </si>
  <si>
    <t xml:space="preserve">19</t>
  </si>
  <si>
    <t xml:space="preserve">Зал</t>
  </si>
  <si>
    <t xml:space="preserve">балка</t>
  </si>
  <si>
    <t xml:space="preserve">202</t>
  </si>
  <si>
    <t xml:space="preserve">203</t>
  </si>
  <si>
    <t xml:space="preserve">197</t>
  </si>
  <si>
    <t xml:space="preserve">198</t>
  </si>
  <si>
    <t xml:space="preserve">187</t>
  </si>
  <si>
    <t xml:space="preserve">181</t>
  </si>
  <si>
    <t xml:space="preserve">Коридор 2 эт</t>
  </si>
  <si>
    <t xml:space="preserve">откосы</t>
  </si>
  <si>
    <t xml:space="preserve">134</t>
  </si>
  <si>
    <t xml:space="preserve">135</t>
  </si>
  <si>
    <t xml:space="preserve">102, 113</t>
  </si>
  <si>
    <t xml:space="preserve">104, 114</t>
  </si>
  <si>
    <t xml:space="preserve">РАСХОЖДЕНИЕ</t>
  </si>
  <si>
    <t xml:space="preserve">103, 136, 139</t>
  </si>
  <si>
    <t xml:space="preserve">105, 143</t>
  </si>
  <si>
    <t xml:space="preserve">280</t>
  </si>
  <si>
    <t xml:space="preserve">282</t>
  </si>
  <si>
    <t xml:space="preserve">нет покраски</t>
  </si>
  <si>
    <t xml:space="preserve">281</t>
  </si>
  <si>
    <t xml:space="preserve">Лестница 2 эт</t>
  </si>
  <si>
    <t xml:space="preserve">147, 156, 158, 163, 167</t>
  </si>
  <si>
    <t xml:space="preserve">148, 157, 159, 164, 168</t>
  </si>
  <si>
    <t xml:space="preserve">нет грунтовки</t>
  </si>
  <si>
    <t xml:space="preserve">27</t>
  </si>
  <si>
    <t xml:space="preserve">28</t>
  </si>
  <si>
    <t xml:space="preserve">271</t>
  </si>
  <si>
    <t xml:space="preserve">273</t>
  </si>
  <si>
    <t xml:space="preserve">283</t>
  </si>
  <si>
    <t xml:space="preserve">285</t>
  </si>
  <si>
    <t xml:space="preserve">89</t>
  </si>
  <si>
    <t xml:space="preserve">93</t>
  </si>
  <si>
    <t xml:space="preserve">88, 90</t>
  </si>
  <si>
    <t xml:space="preserve">91</t>
  </si>
  <si>
    <t xml:space="preserve">116</t>
  </si>
  <si>
    <t xml:space="preserve">117</t>
  </si>
  <si>
    <t xml:space="preserve">126</t>
  </si>
  <si>
    <t xml:space="preserve">128</t>
  </si>
  <si>
    <t xml:space="preserve">125</t>
  </si>
  <si>
    <t xml:space="preserve">127</t>
  </si>
  <si>
    <t xml:space="preserve">Столовая</t>
  </si>
  <si>
    <t xml:space="preserve">316</t>
  </si>
  <si>
    <t xml:space="preserve">310, 311</t>
  </si>
  <si>
    <t xml:space="preserve">312</t>
  </si>
  <si>
    <t xml:space="preserve">313</t>
  </si>
  <si>
    <t xml:space="preserve">254</t>
  </si>
  <si>
    <t xml:space="preserve">255</t>
  </si>
  <si>
    <t xml:space="preserve">250</t>
  </si>
  <si>
    <t xml:space="preserve">256</t>
  </si>
  <si>
    <t xml:space="preserve">Узкий коридор 1 эт</t>
  </si>
  <si>
    <t xml:space="preserve">242</t>
  </si>
  <si>
    <t xml:space="preserve">243</t>
  </si>
  <si>
    <t xml:space="preserve">240</t>
  </si>
  <si>
    <t xml:space="preserve">235</t>
  </si>
  <si>
    <t xml:space="preserve">71</t>
  </si>
  <si>
    <t xml:space="preserve">73</t>
  </si>
  <si>
    <t xml:space="preserve">70</t>
  </si>
  <si>
    <t xml:space="preserve">72</t>
  </si>
  <si>
    <t xml:space="preserve">261</t>
  </si>
  <si>
    <t xml:space="preserve">262</t>
  </si>
  <si>
    <t xml:space="preserve">263</t>
  </si>
  <si>
    <t xml:space="preserve">264</t>
  </si>
  <si>
    <t xml:space="preserve">295</t>
  </si>
  <si>
    <t xml:space="preserve">297</t>
  </si>
  <si>
    <t xml:space="preserve">294</t>
  </si>
  <si>
    <t xml:space="preserve">296</t>
  </si>
  <si>
    <t xml:space="preserve">39</t>
  </si>
  <si>
    <t xml:space="preserve">40</t>
  </si>
  <si>
    <t xml:space="preserve">51</t>
  </si>
  <si>
    <t xml:space="preserve">53</t>
  </si>
  <si>
    <t xml:space="preserve">50</t>
  </si>
  <si>
    <t xml:space="preserve">52</t>
  </si>
  <si>
    <t xml:space="preserve">Широкий коридор 1 эт</t>
  </si>
  <si>
    <t xml:space="preserve">219</t>
  </si>
  <si>
    <t xml:space="preserve">220</t>
  </si>
  <si>
    <t xml:space="preserve">211</t>
  </si>
  <si>
    <t xml:space="preserve">212</t>
  </si>
  <si>
    <t xml:space="preserve">210</t>
  </si>
  <si>
    <t xml:space="preserve">213</t>
  </si>
  <si>
    <t xml:space="preserve">Детализация работ по помещениям</t>
  </si>
  <si>
    <t xml:space="preserve">Работа</t>
  </si>
  <si>
    <t xml:space="preserve">Ед.</t>
  </si>
  <si>
    <t xml:space="preserve">Объём</t>
  </si>
  <si>
    <t xml:space="preserve">Цена $</t>
  </si>
  <si>
    <t xml:space="preserve">×k</t>
  </si>
  <si>
    <t xml:space="preserve">Итого $</t>
  </si>
  <si>
    <t xml:space="preserve">Строки</t>
  </si>
  <si>
    <t xml:space="preserve">Монтаж ГКЛ листов на клей</t>
  </si>
  <si>
    <t xml:space="preserve">м2</t>
  </si>
  <si>
    <t xml:space="preserve">2</t>
  </si>
  <si>
    <t xml:space="preserve">Устройство каркаса и монтаж ГКЛ с виброизол. лентой без утепл.</t>
  </si>
  <si>
    <t xml:space="preserve">3</t>
  </si>
  <si>
    <t xml:space="preserve">Устройство каркаса и монтаж ГКЛ с виброизол. лентой + утеплитель</t>
  </si>
  <si>
    <t xml:space="preserve">4</t>
  </si>
  <si>
    <t xml:space="preserve">Проклейка армирующей ленты на стыки ГКЛ (стен и потолка)</t>
  </si>
  <si>
    <t xml:space="preserve">мп</t>
  </si>
  <si>
    <t xml:space="preserve">5</t>
  </si>
  <si>
    <t xml:space="preserve">Шпатлевка потолка</t>
  </si>
  <si>
    <t xml:space="preserve">6</t>
  </si>
  <si>
    <t xml:space="preserve">Шпатлевка стен</t>
  </si>
  <si>
    <t xml:space="preserve">7</t>
  </si>
  <si>
    <t xml:space="preserve">Формирование внешних углов</t>
  </si>
  <si>
    <t xml:space="preserve">8</t>
  </si>
  <si>
    <t xml:space="preserve">Грунтование стен в 1 слой</t>
  </si>
  <si>
    <t xml:space="preserve">10, 11</t>
  </si>
  <si>
    <t xml:space="preserve">Покраска стен</t>
  </si>
  <si>
    <t xml:space="preserve">Покраска потолка</t>
  </si>
  <si>
    <t xml:space="preserve">Устройство двухсторонней перегородок из ГКЛ на металлокаркасе с шумоизоляцией</t>
  </si>
  <si>
    <t xml:space="preserve">14</t>
  </si>
  <si>
    <t xml:space="preserve">Ремонт оконных откосов</t>
  </si>
  <si>
    <t xml:space="preserve">шт</t>
  </si>
  <si>
    <t xml:space="preserve">16</t>
  </si>
  <si>
    <t xml:space="preserve">17</t>
  </si>
  <si>
    <t xml:space="preserve">Монтаж потолочного плинтуса из пенопласта</t>
  </si>
  <si>
    <t xml:space="preserve">20</t>
  </si>
  <si>
    <t xml:space="preserve">21</t>
  </si>
  <si>
    <t xml:space="preserve">22</t>
  </si>
  <si>
    <t xml:space="preserve">23</t>
  </si>
  <si>
    <t xml:space="preserve">Грунтование потолков в 1 слой</t>
  </si>
  <si>
    <t xml:space="preserve">Бетонирование участков пола</t>
  </si>
  <si>
    <t xml:space="preserve">26</t>
  </si>
  <si>
    <t xml:space="preserve">29</t>
  </si>
  <si>
    <t xml:space="preserve">30</t>
  </si>
  <si>
    <t xml:space="preserve">32</t>
  </si>
  <si>
    <t xml:space="preserve">Демонтаж/монтаж радиаторов отопления</t>
  </si>
  <si>
    <t xml:space="preserve">34</t>
  </si>
  <si>
    <t xml:space="preserve">37, 42, 44</t>
  </si>
  <si>
    <t xml:space="preserve">Облицовка оконных откосов гипсокартоном</t>
  </si>
  <si>
    <t xml:space="preserve">38</t>
  </si>
  <si>
    <t xml:space="preserve">39, 50</t>
  </si>
  <si>
    <t xml:space="preserve">40, 52</t>
  </si>
  <si>
    <t xml:space="preserve">41</t>
  </si>
  <si>
    <t xml:space="preserve">Штукатурка прямолинейных откосов и проемов</t>
  </si>
  <si>
    <t xml:space="preserve">43</t>
  </si>
  <si>
    <t xml:space="preserve">45</t>
  </si>
  <si>
    <t xml:space="preserve">47</t>
  </si>
  <si>
    <t xml:space="preserve">Выравнивание швов потолка</t>
  </si>
  <si>
    <t xml:space="preserve">48</t>
  </si>
  <si>
    <t xml:space="preserve">Выравнивание швов стен</t>
  </si>
  <si>
    <t xml:space="preserve">49</t>
  </si>
  <si>
    <t xml:space="preserve">Формирование балки из ГКЛ</t>
  </si>
  <si>
    <t xml:space="preserve">54</t>
  </si>
  <si>
    <t xml:space="preserve">55</t>
  </si>
  <si>
    <t xml:space="preserve">Усиление дверного проёма деревянным брусом</t>
  </si>
  <si>
    <t xml:space="preserve">56</t>
  </si>
  <si>
    <t xml:space="preserve">60</t>
  </si>
  <si>
    <t xml:space="preserve">Выравнивание швов</t>
  </si>
  <si>
    <t xml:space="preserve">61, 62</t>
  </si>
  <si>
    <t xml:space="preserve">63</t>
  </si>
  <si>
    <t xml:space="preserve">65</t>
  </si>
  <si>
    <t xml:space="preserve">66</t>
  </si>
  <si>
    <t xml:space="preserve">68</t>
  </si>
  <si>
    <t xml:space="preserve">Монтаж ГКЛ на клей</t>
  </si>
  <si>
    <t xml:space="preserve">69</t>
  </si>
  <si>
    <t xml:space="preserve">74, 77, 78</t>
  </si>
  <si>
    <t xml:space="preserve">Кладка керамзито-бетонных блоков</t>
  </si>
  <si>
    <t xml:space="preserve">75</t>
  </si>
  <si>
    <t xml:space="preserve">Устройство двухсторонней перегородок из дерева + ГКЛ</t>
  </si>
  <si>
    <t xml:space="preserve">76</t>
  </si>
  <si>
    <t xml:space="preserve">79</t>
  </si>
  <si>
    <t xml:space="preserve">81</t>
  </si>
  <si>
    <t xml:space="preserve">82</t>
  </si>
  <si>
    <t xml:space="preserve">Шпатлевание стен</t>
  </si>
  <si>
    <t xml:space="preserve">83</t>
  </si>
  <si>
    <t xml:space="preserve">84</t>
  </si>
  <si>
    <t xml:space="preserve">85</t>
  </si>
  <si>
    <t xml:space="preserve">86</t>
  </si>
  <si>
    <t xml:space="preserve">95</t>
  </si>
  <si>
    <t xml:space="preserve">96</t>
  </si>
  <si>
    <t xml:space="preserve">Монтаж ГКЛ листов на клею</t>
  </si>
  <si>
    <t xml:space="preserve">97</t>
  </si>
  <si>
    <t xml:space="preserve">Монтаж ГКЛ на каркас с виброизол. лентой и с утеплителем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</si>
  <si>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</si>
  <si>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</si>
  <si>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</si>
  <si>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</si>
  <si>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</si>
  <si>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</si>
  <si>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</si>
  <si>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</si>
  <si>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Монтаж ГКЛ на металл с виброизол. лентой и с утеплителем</t>
  </si>
  <si>
    <t xml:space="preserve">107</t>
  </si>
  <si>
    <t xml:space="preserve">109</t>
  </si>
  <si>
    <t xml:space="preserve">110</t>
  </si>
  <si>
    <t xml:space="preserve">Сверление отверстий под свет + А/С</t>
  </si>
  <si>
    <t xml:space="preserve">111</t>
  </si>
  <si>
    <t xml:space="preserve">113</t>
  </si>
  <si>
    <t xml:space="preserve">114</t>
  </si>
  <si>
    <t xml:space="preserve">115</t>
  </si>
  <si>
    <t xml:space="preserve">Устройство оконного откоса</t>
  </si>
  <si>
    <t xml:space="preserve">118</t>
  </si>
  <si>
    <t xml:space="preserve">119</t>
  </si>
  <si>
    <t xml:space="preserve">Монтаж ГКЛ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</si>
  <si>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</si>
  <si>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</si>
  <si>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</si>
  <si>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</si>
  <si>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</si>
  <si>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Выравнивание внутрених углов</t>
  </si>
  <si>
    <t xml:space="preserve">130</t>
  </si>
  <si>
    <t xml:space="preserve">Выравнивание внешних углов</t>
  </si>
  <si>
    <t xml:space="preserve">131</t>
  </si>
  <si>
    <t xml:space="preserve">Выравнивание стен под покраску</t>
  </si>
  <si>
    <t xml:space="preserve">132</t>
  </si>
  <si>
    <t xml:space="preserve">133</t>
  </si>
  <si>
    <t xml:space="preserve">134, 136, 139</t>
  </si>
  <si>
    <t xml:space="preserve">137</t>
  </si>
  <si>
    <t xml:space="preserve">Выравнивание стены под покраску</t>
  </si>
  <si>
    <t xml:space="preserve">138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</si>
  <si>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</si>
  <si>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</si>
  <si>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</si>
  <si>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</si>
  <si>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</si>
  <si>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</si>
  <si>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</si>
  <si>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147, 156, 158</t>
  </si>
  <si>
    <t xml:space="preserve">148, 157, 159</t>
  </si>
  <si>
    <t xml:space="preserve">Наклеивание холста</t>
  </si>
  <si>
    <t xml:space="preserve">149, 153</t>
  </si>
  <si>
    <t xml:space="preserve">150</t>
  </si>
  <si>
    <t xml:space="preserve">151</t>
  </si>
  <si>
    <t xml:space="preserve">Шпатлевание добавл. отрезка ГКЛ</t>
  </si>
  <si>
    <t xml:space="preserve">152</t>
  </si>
  <si>
    <t xml:space="preserve">154</t>
  </si>
  <si>
    <t xml:space="preserve">155</t>
  </si>
  <si>
    <t xml:space="preserve">160</t>
  </si>
  <si>
    <t xml:space="preserve">161</t>
  </si>
  <si>
    <t xml:space="preserve">162</t>
  </si>
  <si>
    <t xml:space="preserve">163, 167</t>
  </si>
  <si>
    <t xml:space="preserve">164, 168</t>
  </si>
  <si>
    <t xml:space="preserve">165</t>
  </si>
  <si>
    <t xml:space="preserve">166</t>
  </si>
  <si>
    <t xml:space="preserve">171, 179</t>
  </si>
  <si>
    <t xml:space="preserve">178</t>
  </si>
  <si>
    <t xml:space="preserve">182</t>
  </si>
  <si>
    <t xml:space="preserve">183</t>
  </si>
  <si>
    <t xml:space="preserve">184</t>
  </si>
  <si>
    <t xml:space="preserve">Формирование внутренних углов</t>
  </si>
  <si>
    <t xml:space="preserve">185</t>
  </si>
  <si>
    <t xml:space="preserve">195</t>
  </si>
  <si>
    <t xml:space="preserve">196</t>
  </si>
  <si>
    <t xml:space="preserve">199</t>
  </si>
  <si>
    <t xml:space="preserve">Внешние углы балки</t>
  </si>
  <si>
    <t xml:space="preserve">200</t>
  </si>
  <si>
    <t xml:space="preserve">Внутренние углы балки</t>
  </si>
  <si>
    <t xml:space="preserve">201</t>
  </si>
  <si>
    <t xml:space="preserve">Грунтование балки в 1 слой</t>
  </si>
  <si>
    <t xml:space="preserve">Покраска балки</t>
  </si>
  <si>
    <t xml:space="preserve">207</t>
  </si>
  <si>
    <t xml:space="preserve">209</t>
  </si>
  <si>
    <t xml:space="preserve">214</t>
  </si>
  <si>
    <t xml:space="preserve">215</t>
  </si>
  <si>
    <t xml:space="preserve">Шпатлевание гаражного дверного проёма</t>
  </si>
  <si>
    <t xml:space="preserve">216</t>
  </si>
  <si>
    <t xml:space="preserve">Шпатлевание главного дверного проёма</t>
  </si>
  <si>
    <t xml:space="preserve">217</t>
  </si>
  <si>
    <t xml:space="preserve">218</t>
  </si>
  <si>
    <t xml:space="preserve">227, 228</t>
  </si>
  <si>
    <t xml:space="preserve">230</t>
  </si>
  <si>
    <t xml:space="preserve">231</t>
  </si>
  <si>
    <t xml:space="preserve">232</t>
  </si>
  <si>
    <t xml:space="preserve">236</t>
  </si>
  <si>
    <t xml:space="preserve">237</t>
  </si>
  <si>
    <t xml:space="preserve">238</t>
  </si>
  <si>
    <t xml:space="preserve">239</t>
  </si>
  <si>
    <t xml:space="preserve">Формирование балки</t>
  </si>
  <si>
    <t xml:space="preserve">241</t>
  </si>
  <si>
    <t xml:space="preserve">Грунтовка балки</t>
  </si>
  <si>
    <t xml:space="preserve">244</t>
  </si>
  <si>
    <t xml:space="preserve">245</t>
  </si>
  <si>
    <t xml:space="preserve">247</t>
  </si>
  <si>
    <t xml:space="preserve">249</t>
  </si>
  <si>
    <t xml:space="preserve">251</t>
  </si>
  <si>
    <t xml:space="preserve">Монтаж ГКЛ - потолок (добавить Монтаж утеплителя)</t>
  </si>
  <si>
    <t xml:space="preserve">252</t>
  </si>
  <si>
    <t xml:space="preserve">Монтаж ГКЛ - стены</t>
  </si>
  <si>
    <t xml:space="preserve">253</t>
  </si>
  <si>
    <t xml:space="preserve">257</t>
  </si>
  <si>
    <t xml:space="preserve">258</t>
  </si>
  <si>
    <t xml:space="preserve">260</t>
  </si>
  <si>
    <t xml:space="preserve">265</t>
  </si>
  <si>
    <t xml:space="preserve">266</t>
  </si>
  <si>
    <t xml:space="preserve">269</t>
  </si>
  <si>
    <t xml:space="preserve">272</t>
  </si>
  <si>
    <t xml:space="preserve">274</t>
  </si>
  <si>
    <t xml:space="preserve">Монтаж ГКЛ - потолок</t>
  </si>
  <si>
    <t xml:space="preserve">275</t>
  </si>
  <si>
    <t xml:space="preserve">276</t>
  </si>
  <si>
    <t xml:space="preserve">277</t>
  </si>
  <si>
    <t xml:space="preserve">279</t>
  </si>
  <si>
    <t xml:space="preserve">284</t>
  </si>
  <si>
    <t xml:space="preserve">Формирование балки ГКЛ</t>
  </si>
  <si>
    <t xml:space="preserve">286</t>
  </si>
  <si>
    <t xml:space="preserve">Установка опуска дверных проёмов</t>
  </si>
  <si>
    <t xml:space="preserve">287</t>
  </si>
  <si>
    <t xml:space="preserve">288</t>
  </si>
  <si>
    <t xml:space="preserve">Формирование внешних углов стен шкафов</t>
  </si>
  <si>
    <t xml:space="preserve">290</t>
  </si>
  <si>
    <t xml:space="preserve">Формирование внутренних углов стен шкафов</t>
  </si>
  <si>
    <t xml:space="preserve">291</t>
  </si>
  <si>
    <t xml:space="preserve">292</t>
  </si>
  <si>
    <t xml:space="preserve">Грунтование стен в 1 слой шкафов и балки</t>
  </si>
  <si>
    <t xml:space="preserve">Покраска стен шкафов и балки</t>
  </si>
  <si>
    <t xml:space="preserve">Монтаж ГКЛ -  внутренний потолок</t>
  </si>
  <si>
    <t xml:space="preserve">298</t>
  </si>
  <si>
    <t xml:space="preserve">Монтаж ГКЛ -  нижний потолок</t>
  </si>
  <si>
    <t xml:space="preserve">299</t>
  </si>
  <si>
    <t xml:space="preserve">Формирование внешних углов  нижнего потолка</t>
  </si>
  <si>
    <t xml:space="preserve">300</t>
  </si>
  <si>
    <t xml:space="preserve">Формирование внутренних углов нижнего потолка</t>
  </si>
  <si>
    <t xml:space="preserve">301</t>
  </si>
  <si>
    <t xml:space="preserve">Формирование внешних  углов внутреннего потолка</t>
  </si>
  <si>
    <t xml:space="preserve">302</t>
  </si>
  <si>
    <t xml:space="preserve">Шпатлевка  внутреннего потолка</t>
  </si>
  <si>
    <t xml:space="preserve">303</t>
  </si>
  <si>
    <t xml:space="preserve">Шпатлевка  нижнего потолка</t>
  </si>
  <si>
    <t xml:space="preserve">304</t>
  </si>
  <si>
    <t xml:space="preserve">Наклеивание холста внутренний потолок</t>
  </si>
  <si>
    <t xml:space="preserve">305</t>
  </si>
  <si>
    <t xml:space="preserve">Наклеивание холста нижнего потолка</t>
  </si>
  <si>
    <t xml:space="preserve">306</t>
  </si>
  <si>
    <t xml:space="preserve">Выравнивание внутренного потолка</t>
  </si>
  <si>
    <t xml:space="preserve">307</t>
  </si>
  <si>
    <t xml:space="preserve">Выравнивание нижнего потолка</t>
  </si>
  <si>
    <t xml:space="preserve">308</t>
  </si>
  <si>
    <t xml:space="preserve">Выравнивание светового проёма потолка</t>
  </si>
  <si>
    <t xml:space="preserve">309</t>
  </si>
  <si>
    <t xml:space="preserve">Грунтование потолков в 1 слой внутренного потолка</t>
  </si>
  <si>
    <t xml:space="preserve">310</t>
  </si>
  <si>
    <t xml:space="preserve">Грунтование потолков в 1 слой нижнего потолка</t>
  </si>
  <si>
    <t xml:space="preserve">311</t>
  </si>
  <si>
    <t xml:space="preserve">314</t>
  </si>
  <si>
    <t xml:space="preserve">315</t>
  </si>
  <si>
    <t xml:space="preserve">Покраска откосов</t>
  </si>
  <si>
    <t xml:space="preserve">Спайка труб</t>
  </si>
  <si>
    <t xml:space="preserve">раб</t>
  </si>
  <si>
    <t xml:space="preserve">319</t>
  </si>
  <si>
    <t xml:space="preserve">Сверление тех. отверстий в потолке</t>
  </si>
  <si>
    <t xml:space="preserve">320</t>
  </si>
  <si>
    <t xml:space="preserve">Опрессовка труб</t>
  </si>
  <si>
    <t xml:space="preserve">321</t>
  </si>
  <si>
    <t xml:space="preserve">Монтаж канализации</t>
  </si>
  <si>
    <t xml:space="preserve">324</t>
  </si>
  <si>
    <t xml:space="preserve">Описание работы</t>
  </si>
  <si>
    <t xml:space="preserve">Тип работы</t>
  </si>
  <si>
    <t xml:space="preserve">Ед. изм.</t>
  </si>
  <si>
    <t xml:space="preserve">Мультиплик.</t>
  </si>
  <si>
    <t xml:space="preserve">Заметка</t>
  </si>
  <si>
    <t xml:space="preserve">Цена рынок, $</t>
  </si>
  <si>
    <t xml:space="preserve">Итого рынок, $</t>
  </si>
  <si>
    <t xml:space="preserve">Монтаж ГКЛ на стену ванной</t>
  </si>
  <si>
    <t xml:space="preserve">Усиление ГКЛ на стене в гардеробе</t>
  </si>
  <si>
    <t xml:space="preserve">Устройство и монтаж потолка</t>
  </si>
  <si>
    <t xml:space="preserve">Проклеивание швов ГКЛ армлентой</t>
  </si>
  <si>
    <t xml:space="preserve">м.п.</t>
  </si>
  <si>
    <t xml:space="preserve">ед.изм.: в строке «м.п.», в расценке «м2»</t>
  </si>
  <si>
    <t xml:space="preserve">Формирование внешних углов (дверной проём)</t>
  </si>
  <si>
    <t xml:space="preserve">Дверной проём</t>
  </si>
  <si>
    <t xml:space="preserve">Устройство дверного откоса</t>
  </si>
  <si>
    <t xml:space="preserve">нет расценки: Устройство дверного откоса</t>
  </si>
  <si>
    <t xml:space="preserve">Грунтование стен</t>
  </si>
  <si>
    <t xml:space="preserve">Грунтование потолка</t>
  </si>
  <si>
    <t xml:space="preserve">Увеличение стены Аниной комн. на дерев. каркасе</t>
  </si>
  <si>
    <t xml:space="preserve">Утепление потолка</t>
  </si>
  <si>
    <t xml:space="preserve">нет расценки: Утепление потолка</t>
  </si>
  <si>
    <t xml:space="preserve">Ремонт и покраска оконных откосов</t>
  </si>
  <si>
    <t xml:space="preserve">шт.</t>
  </si>
  <si>
    <t xml:space="preserve">Шпатлевание стен (восточная и часть зап. стен)</t>
  </si>
  <si>
    <t xml:space="preserve">Грунтовка стен (восточная и часть зап. стен)</t>
  </si>
  <si>
    <t xml:space="preserve">Покраска стен (восточная и часть зап. стен)</t>
  </si>
  <si>
    <t xml:space="preserve">Покраска потолочного молдинга</t>
  </si>
  <si>
    <t xml:space="preserve">Ремонт шва, отверстий под светильники</t>
  </si>
  <si>
    <t xml:space="preserve">Монтаж центр. молдинга под люстру</t>
  </si>
  <si>
    <t xml:space="preserve">ед.изм.: в строке «шт.», в расценке «м2»</t>
  </si>
  <si>
    <t xml:space="preserve">Грунтовка потолка</t>
  </si>
  <si>
    <t xml:space="preserve">Заливка цементом конвектора</t>
  </si>
  <si>
    <t xml:space="preserve">Внешние углы в спальне</t>
  </si>
  <si>
    <t xml:space="preserve">Внешние углы + балка</t>
  </si>
  <si>
    <t xml:space="preserve">откос полукруглый</t>
  </si>
  <si>
    <t xml:space="preserve">Формирование откоса</t>
  </si>
  <si>
    <t xml:space="preserve">нет расценки: Формирование откоса</t>
  </si>
  <si>
    <t xml:space="preserve">вент отверстия</t>
  </si>
  <si>
    <t xml:space="preserve">Формирование отверстий</t>
  </si>
  <si>
    <t xml:space="preserve">нет расценки: Формирование отверстий</t>
  </si>
  <si>
    <t xml:space="preserve">Демонтаж радиатора</t>
  </si>
  <si>
    <t xml:space="preserve">Прокладка кабеля для "коморки" и для нижнего подключения</t>
  </si>
  <si>
    <t xml:space="preserve">разовая работа — считаем позже</t>
  </si>
  <si>
    <t xml:space="preserve">Монтаж пенопл. утеплителя на внешнюю стену и под крышу</t>
  </si>
  <si>
    <t xml:space="preserve">Монтаж цементно-волокнистой плиты</t>
  </si>
  <si>
    <t xml:space="preserve">Формирование округлого оконного проёма</t>
  </si>
  <si>
    <t xml:space="preserve">Облицовка оконных откосов гипсокартоном </t>
  </si>
  <si>
    <t xml:space="preserve">Грунтование округлого оконного проёма</t>
  </si>
  <si>
    <t xml:space="preserve">Покраска округлого оконного проёма</t>
  </si>
  <si>
    <t xml:space="preserve">Формирование каркаса на потолке + ГКЛ</t>
  </si>
  <si>
    <t xml:space="preserve">Обшивка стен ГКЛ</t>
  </si>
  <si>
    <t xml:space="preserve">Штукатурка балки часовни</t>
  </si>
  <si>
    <t xml:space="preserve">ед.изм.: в строке «м2», в расценке «м.п.»</t>
  </si>
  <si>
    <t xml:space="preserve">Формирование каркаса на стене под балкой + ГКЛ</t>
  </si>
  <si>
    <t xml:space="preserve">Формирование балки из ГКЛ (на клей)</t>
  </si>
  <si>
    <t xml:space="preserve">Устройство мини-дверного проёма в стене</t>
  </si>
  <si>
    <t xml:space="preserve">Демонтаж и опрессовка радиатора</t>
  </si>
  <si>
    <t xml:space="preserve">нет расценки: Демонтаж и опрессовка радиатора</t>
  </si>
  <si>
    <t xml:space="preserve">Прокладка кабеля под розетку и под свет на чердак</t>
  </si>
  <si>
    <t xml:space="preserve">Прокладка кабеля под розетку для мастер-спальни</t>
  </si>
  <si>
    <t xml:space="preserve">Выравнивание швов стен </t>
  </si>
  <si>
    <t xml:space="preserve">Внешние углы</t>
  </si>
  <si>
    <t xml:space="preserve">Демонтаж ступеней лестницы на чердак</t>
  </si>
  <si>
    <t xml:space="preserve">Устройство каркаса под лестницей на чердак</t>
  </si>
  <si>
    <t xml:space="preserve">Устройство мини-дверного проёма под лестницей</t>
  </si>
  <si>
    <t xml:space="preserve">ед.изм.: в строке «м2», в расценке «шт.»</t>
  </si>
  <si>
    <t xml:space="preserve">Монтаж вентиляционного канала</t>
  </si>
  <si>
    <t xml:space="preserve">Монтаж вентканала</t>
  </si>
  <si>
    <t xml:space="preserve">нет расценки: Монтаж вентканала</t>
  </si>
  <si>
    <t xml:space="preserve">Moнтаж ГКЛ наклей стены прачечной</t>
  </si>
  <si>
    <t xml:space="preserve">Покраска стен </t>
  </si>
  <si>
    <t xml:space="preserve">Наращивание стены прачечной (кладка)</t>
  </si>
  <si>
    <t xml:space="preserve"> Кладка керамзито-бетонных блоков</t>
  </si>
  <si>
    <t xml:space="preserve">Устройство каркаса для дверного проёма прачечной + ГКЛ</t>
  </si>
  <si>
    <t xml:space="preserve">Установка ГКЛ на стены коридора и лестничн. перегородки</t>
  </si>
  <si>
    <t xml:space="preserve">Установка ГКЛ на стену со стороны  лестницы</t>
  </si>
  <si>
    <t xml:space="preserve">Штукатурка стены с эл. счётчиком</t>
  </si>
  <si>
    <t xml:space="preserve">Штукатурка стен</t>
  </si>
  <si>
    <t xml:space="preserve">нет расценки: Штукатурка стен</t>
  </si>
  <si>
    <t xml:space="preserve">Внутренние углы</t>
  </si>
  <si>
    <t xml:space="preserve">Шпатлевание стены с эл. счётчиком</t>
  </si>
  <si>
    <t xml:space="preserve">Прокладка кабеля под розетку и под свет и выключатель</t>
  </si>
  <si>
    <t xml:space="preserve">Грунтовка стен</t>
  </si>
  <si>
    <t xml:space="preserve">Заделка отверстий под освещение</t>
  </si>
  <si>
    <t xml:space="preserve">нет расценки: Заделка отверстий под освещение</t>
  </si>
  <si>
    <t xml:space="preserve">Устройство канализ. слива для стиральной машины</t>
  </si>
  <si>
    <t xml:space="preserve">Увеличение стены Сереж. комн. на дерев. каркас</t>
  </si>
  <si>
    <t xml:space="preserve">Устройство дверных проёмов деревом в спальнях</t>
  </si>
  <si>
    <t xml:space="preserve">ед.изм.: в строке «м.п.», в расценке «шт.»</t>
  </si>
  <si>
    <t xml:space="preserve">Монтаж ГКЛ на стены коридора перед ванной 2эт.</t>
  </si>
  <si>
    <t xml:space="preserve">Монтаж ГКЛ листов на клею </t>
  </si>
  <si>
    <t xml:space="preserve">Демонтаж ГКЛ и устройство звукоизоляции</t>
  </si>
  <si>
    <t xml:space="preserve">Демонтаж ГКЛ и устройство звукоизоляции (REWORK)</t>
  </si>
  <si>
    <t xml:space="preserve">нет расценки: Демонтаж ГКЛ и устройство звукоизоляции (REWORK)</t>
  </si>
  <si>
    <t xml:space="preserve">Сверление отверстий под свет и А/С + Анин гард.</t>
  </si>
  <si>
    <t xml:space="preserve">Прокладка кабеля для свето-датчика</t>
  </si>
  <si>
    <t xml:space="preserve">Прокладка кабеля</t>
  </si>
  <si>
    <t xml:space="preserve">нет расценки: Прокладка кабеля</t>
  </si>
  <si>
    <t xml:space="preserve">Покраска потолка коридора 2 этажа</t>
  </si>
  <si>
    <t xml:space="preserve">аудит: мультипликатор грунтования исправлен 2→1 (грунт всегда 1 слой)</t>
  </si>
  <si>
    <t xml:space="preserve">Формирование опалубки и бетонирование над лестн.</t>
  </si>
  <si>
    <t xml:space="preserve">Бетонирование с опалубкой и армированием</t>
  </si>
  <si>
    <t xml:space="preserve">нет расценки: Бетонирование с опалубкой и армированием</t>
  </si>
  <si>
    <t xml:space="preserve">Внутренние углы коридора</t>
  </si>
  <si>
    <t xml:space="preserve">Внешние углы коридора</t>
  </si>
  <si>
    <t xml:space="preserve">Выравнивание швов стен коридора 2 этажа (без лестн.)</t>
  </si>
  <si>
    <t xml:space="preserve">Формирование откоса окна</t>
  </si>
  <si>
    <t xml:space="preserve">Грунт откоса окна</t>
  </si>
  <si>
    <t xml:space="preserve">Покраска откоса окна</t>
  </si>
  <si>
    <t xml:space="preserve">Грунтовка стен без кирп. и лестничной и окна</t>
  </si>
  <si>
    <t xml:space="preserve">Шпатл., выравнивание и покраска кирп. стены</t>
  </si>
  <si>
    <t xml:space="preserve">Шлифовка стены коридора 2 этажа</t>
  </si>
  <si>
    <t xml:space="preserve">Монтаж ГКЛ на стену с подогр. окном 196х171</t>
  </si>
  <si>
    <t xml:space="preserve">Грунтовка стены с подогр. окном 196х171</t>
  </si>
  <si>
    <t xml:space="preserve">аудит: грунтовка, цена исправлена с $4 (ГКЛ) на $0.5 по правилу «грунтование = 1 слой»</t>
  </si>
  <si>
    <t xml:space="preserve">Покраска стен (без 4м лестничной стены)</t>
  </si>
  <si>
    <t xml:space="preserve">Выравнивание швов большой стены</t>
  </si>
  <si>
    <t xml:space="preserve">ед.изм.: в строке «None», в расценке «м2»</t>
  </si>
  <si>
    <t xml:space="preserve">Грунтовка лестничных стен с краской</t>
  </si>
  <si>
    <t xml:space="preserve">покраска лестничных стен</t>
  </si>
  <si>
    <t xml:space="preserve">Заклеивание большой стены холстом</t>
  </si>
  <si>
    <t xml:space="preserve">Монтаж холста на добавленный отрезок ГКЛ</t>
  </si>
  <si>
    <t xml:space="preserve">Шпатлевание большой стены с холстом</t>
  </si>
  <si>
    <t xml:space="preserve">Наклеивание ГКЛ на козырёк лестницы</t>
  </si>
  <si>
    <t xml:space="preserve">Закл. холстом  отрезка стены на козырёк лестницы</t>
  </si>
  <si>
    <t xml:space="preserve">Формирование внешнего угла на козырёк лестницы</t>
  </si>
  <si>
    <t xml:space="preserve">Формирование внутреннего угла на козырёк лестницы</t>
  </si>
  <si>
    <t xml:space="preserve">козырёк лестницы, грунтовка</t>
  </si>
  <si>
    <t xml:space="preserve">козырёк лестницы, покраска</t>
  </si>
  <si>
    <t xml:space="preserve">Грунтовка лестничной стены на холст</t>
  </si>
  <si>
    <t xml:space="preserve">Покраска лестничной стены на холст</t>
  </si>
  <si>
    <t xml:space="preserve">Монтаж ГКЛ </t>
  </si>
  <si>
    <t xml:space="preserve">Заклеивание холстом</t>
  </si>
  <si>
    <t xml:space="preserve">Шпатлевание стены перегородки с холстом</t>
  </si>
  <si>
    <t xml:space="preserve">Грунтовка перегородочной стены на холст</t>
  </si>
  <si>
    <t xml:space="preserve">Покраска перегородочной стены на холст</t>
  </si>
  <si>
    <t xml:space="preserve">1й ЭТАЖ</t>
  </si>
  <si>
    <t xml:space="preserve">Монтаж ГКЛ на стены</t>
  </si>
  <si>
    <t xml:space="preserve">Проклеивание швов стен</t>
  </si>
  <si>
    <t xml:space="preserve">Шпатлевание верха стен под потолок</t>
  </si>
  <si>
    <t xml:space="preserve">Шпатлевание  верха стен</t>
  </si>
  <si>
    <t xml:space="preserve">ниши</t>
  </si>
  <si>
    <t xml:space="preserve">Выравнивание откосов в нишах</t>
  </si>
  <si>
    <t xml:space="preserve">Монтаж и окраска ГКЛ на проём камина</t>
  </si>
  <si>
    <t xml:space="preserve">Переноска ГКЛ на вост. стену</t>
  </si>
  <si>
    <t xml:space="preserve">нет расценки: Переноска ГКЛ на вост. стену</t>
  </si>
  <si>
    <t xml:space="preserve">Ремонт откосов 1 этажа: зал+столовая</t>
  </si>
  <si>
    <t xml:space="preserve">Формирование внутр. углов</t>
  </si>
  <si>
    <t xml:space="preserve">Бетонирование. выхода на терассу</t>
  </si>
  <si>
    <t xml:space="preserve">грунтование стен</t>
  </si>
  <si>
    <t xml:space="preserve">Грунтование откосов</t>
  </si>
  <si>
    <t xml:space="preserve">Заделывание швов откосов герметиком</t>
  </si>
  <si>
    <t xml:space="preserve">Очистка окон от плёнки (подготовка)</t>
  </si>
  <si>
    <t xml:space="preserve">Монтаж потолка ГКЛ</t>
  </si>
  <si>
    <t xml:space="preserve">Проклейка армирующей ленты на стыки ГКЛ (потолка)</t>
  </si>
  <si>
    <t xml:space="preserve">Выравнивание проблем. швов на потолке</t>
  </si>
  <si>
    <t xml:space="preserve">монтаж ГКЛ на клей</t>
  </si>
  <si>
    <t xml:space="preserve">пересчитано в м.п. (было м2: глубина×периметр); подтвердить: м.п. = скобка формулы</t>
  </si>
  <si>
    <t xml:space="preserve">Шпатлевание главного дверного проёма тамбур</t>
  </si>
  <si>
    <t xml:space="preserve">  Монтаж ГКЛ                           </t>
  </si>
  <si>
    <t xml:space="preserve">м.п</t>
  </si>
  <si>
    <t xml:space="preserve">Формирование внутренних углов балки</t>
  </si>
  <si>
    <t xml:space="preserve">Формирование каркаса перегородки на лестнице: сварка металла+металлокаркас с деревом + ГКЛ + утеплитель + звукоизоляция</t>
  </si>
  <si>
    <t xml:space="preserve">Формирование каркаса перегородки нижних ступеней: сварка металла+металлокаркас с деревом + ГКЛ + утеплитель + звукоизоляция</t>
  </si>
  <si>
    <t xml:space="preserve">Наращивание стены входа в ванную (шпатлевание)</t>
  </si>
  <si>
    <t xml:space="preserve">откос  окна</t>
  </si>
  <si>
    <t xml:space="preserve">Шпатлевание стен (частично)</t>
  </si>
  <si>
    <t xml:space="preserve">грунтовка стен</t>
  </si>
  <si>
    <t xml:space="preserve">Балка перед кухней</t>
  </si>
  <si>
    <t xml:space="preserve">Наращивание стены входа в ванную (ГКЛ)</t>
  </si>
  <si>
    <t xml:space="preserve">Наращивание стены входа в ванную (кладка)</t>
  </si>
  <si>
    <t xml:space="preserve">Монтаж потолка ГКЛ с утеплителем</t>
  </si>
  <si>
    <t xml:space="preserve">Оконный проём</t>
  </si>
  <si>
    <t xml:space="preserve"> Балка столовая</t>
  </si>
  <si>
    <t xml:space="preserve">Покраска балки </t>
  </si>
  <si>
    <t xml:space="preserve"> м2</t>
  </si>
  <si>
    <t xml:space="preserve">Постройка стены с утеплителем</t>
  </si>
  <si>
    <t xml:space="preserve">m2</t>
  </si>
  <si>
    <t xml:space="preserve">Покраска стены</t>
  </si>
  <si>
    <t xml:space="preserve">Покраска стен 1й слой</t>
  </si>
  <si>
    <t xml:space="preserve">Монтаж ГКЛ на балку</t>
  </si>
  <si>
    <t xml:space="preserve">Монтаж потолка ГКЛ </t>
  </si>
  <si>
    <t xml:space="preserve">Формирование внешних углов балки</t>
  </si>
  <si>
    <t xml:space="preserve">Шпатлевание стен шкафов и балки</t>
  </si>
  <si>
    <t xml:space="preserve">         м2</t>
  </si>
  <si>
    <t xml:space="preserve">ед.изм.: в строке «         м2», в расценке «м2»</t>
  </si>
  <si>
    <t xml:space="preserve">Грунтовка стен шкафов и балки</t>
  </si>
  <si>
    <t xml:space="preserve">Монтаж внутреннего потолка (ГКЛ)</t>
  </si>
  <si>
    <t xml:space="preserve">Монтаж нижнего потолка (ГКЛ)</t>
  </si>
  <si>
    <t xml:space="preserve">Формирование светового проёма нижнего потолка</t>
  </si>
  <si>
    <t xml:space="preserve">единица исправлена на м.п. (формула уже в м.п.)</t>
  </si>
  <si>
    <t xml:space="preserve">Шпатлевка внутреннего потолка</t>
  </si>
  <si>
    <t xml:space="preserve">Шпатлевка нижнего потолка</t>
  </si>
  <si>
    <t xml:space="preserve">Заклейка холстом внутреннего потолка</t>
  </si>
  <si>
    <t xml:space="preserve">Заклейка холстом нижнего потолка</t>
  </si>
  <si>
    <t xml:space="preserve">Выравнивание внутреннего потолка</t>
  </si>
  <si>
    <t xml:space="preserve">Грунтовка внутреннего потолка</t>
  </si>
  <si>
    <t xml:space="preserve">Грунтовка нижнего потолка</t>
  </si>
  <si>
    <t xml:space="preserve">Сварка труб в Мастер ванной</t>
  </si>
  <si>
    <t xml:space="preserve">ед.изм.: в строке «раб», в расценке «шт.»</t>
  </si>
  <si>
    <t xml:space="preserve">Сверление тех. отверстий в потолке 1 этажа</t>
  </si>
  <si>
    <t xml:space="preserve">Опрессовка труб в ванной 1 этажа</t>
  </si>
  <si>
    <t xml:space="preserve">Переноска ГКЛ на зап. стену</t>
  </si>
  <si>
    <t xml:space="preserve">Выведение вент трубы канализации на чердак</t>
  </si>
  <si>
    <t xml:space="preserve">Монтаж канализации ванная 1эт. + стояк</t>
  </si>
  <si>
    <t xml:space="preserve">Монтаж канализации из кухни + стояк?</t>
  </si>
  <si>
    <t xml:space="preserve">Монтаж канализации из санузла 1эт. + стояк</t>
  </si>
  <si>
    <t xml:space="preserve">Штукатурка лестничной стены</t>
  </si>
  <si>
    <t xml:space="preserve">Заклейка швов ГКЛ серпянкой на фуген филлер</t>
  </si>
  <si>
    <t xml:space="preserve">Формирование внутр. углов лестн. площадки</t>
  </si>
  <si>
    <t xml:space="preserve">Установка алюм. уголков на дверной проёмы</t>
  </si>
  <si>
    <t xml:space="preserve">Выравнивание стен для покраски</t>
  </si>
  <si>
    <t xml:space="preserve">Грунтовка стен 1й слой</t>
  </si>
  <si>
    <t xml:space="preserve">Штукатурка откосов гаражной двери</t>
  </si>
  <si>
    <t xml:space="preserve">Тип работы обобщённый</t>
  </si>
  <si>
    <t xml:space="preserve">Цена, $</t>
  </si>
  <si>
    <t xml:space="preserve">Тип работ</t>
  </si>
  <si>
    <t xml:space="preserve">Герметизация швов и стыков акриловым герметиком</t>
  </si>
  <si>
    <t xml:space="preserve">балка из узкого коридора</t>
  </si>
  <si>
    <t xml:space="preserve">Грунтование стен и потолков в 1 слой</t>
  </si>
  <si>
    <t xml:space="preserve">Балка перед лестницей</t>
  </si>
  <si>
    <t xml:space="preserve">Выравнивание проблемных швов</t>
  </si>
  <si>
    <t xml:space="preserve">Заделка штроб электрики</t>
  </si>
  <si>
    <t xml:space="preserve">Изготовление отверстия в ГКЛ для монтажа подрозетников</t>
  </si>
  <si>
    <t xml:space="preserve">Выравнивание швов - на потолке</t>
  </si>
  <si>
    <t xml:space="preserve">Проклейка армирующей ленты на стыки ГКЛ и на примыкания стен и потолка</t>
  </si>
  <si>
    <t xml:space="preserve">Выравнивание швов (rework and cover holstom)</t>
  </si>
  <si>
    <t xml:space="preserve">Выравнивание проблем. швов</t>
  </si>
  <si>
    <t xml:space="preserve">Монтаж ГКЛ на каркас с утеплителем</t>
  </si>
  <si>
    <t xml:space="preserve">Выравнивание стен узкий коридор</t>
  </si>
  <si>
    <t xml:space="preserve">Монтаж ГКЛ на каркас - потолок</t>
  </si>
  <si>
    <t xml:space="preserve">Монтаж ГКЛ на каркас + утеплитель (потолок)</t>
  </si>
  <si>
    <t xml:space="preserve">Опрессовка труб в ванной</t>
  </si>
  <si>
    <t xml:space="preserve">Поклейка холста (стены)</t>
  </si>
  <si>
    <t xml:space="preserve">Пайка ПП труб</t>
  </si>
  <si>
    <t xml:space="preserve">Поклейка холста (потолок)</t>
  </si>
  <si>
    <t xml:space="preserve">Наклеивание холста на потолок</t>
  </si>
  <si>
    <t xml:space="preserve">Покраска потолка 1 слой</t>
  </si>
  <si>
    <t xml:space="preserve">Покраска стен 1 слой</t>
  </si>
  <si>
    <t xml:space="preserve">Грунтовка лестничной стены</t>
  </si>
  <si>
    <t xml:space="preserve">Укрывка окон </t>
  </si>
  <si>
    <t xml:space="preserve">Покраска потолочного плинтуса из пенопласта</t>
  </si>
  <si>
    <t xml:space="preserve">Установка перфорированого угла</t>
  </si>
  <si>
    <t xml:space="preserve">Грунтовка стен входа Нат. каб. и стол. шкафов</t>
  </si>
  <si>
    <t xml:space="preserve">Покраска стен 2й слой</t>
  </si>
  <si>
    <t xml:space="preserve">Грунтовка швов</t>
  </si>
  <si>
    <t xml:space="preserve">Устройство каскада прямолинейного сложного (2 и более уровней) из ГКЛ + вибролента</t>
  </si>
  <si>
    <t xml:space="preserve">Закл. холстом внешней стены стол. шкафов</t>
  </si>
  <si>
    <t xml:space="preserve">Наклеивание холста на стену</t>
  </si>
  <si>
    <t xml:space="preserve">Устройство подвесного потолка из гипсокартона в одном уровне 1 слой</t>
  </si>
  <si>
    <t xml:space="preserve">Закл. холстом отрезка стены с тупым углом</t>
  </si>
  <si>
    <t xml:space="preserve">Устройство потолочны коробов для балок</t>
  </si>
  <si>
    <t xml:space="preserve">Закл. холстом стены корид. вход Н. кабинет</t>
  </si>
  <si>
    <t xml:space="preserve">Заклеивание стены перегородки холстом</t>
  </si>
  <si>
    <t xml:space="preserve">Выравнивание верха стены в зале (10 см)</t>
  </si>
  <si>
    <t xml:space="preserve">Кладка перегородки из пеноблока</t>
  </si>
  <si>
    <t xml:space="preserve">Грунтовка</t>
  </si>
  <si>
    <t xml:space="preserve">за кв.м.</t>
  </si>
  <si>
    <t xml:space="preserve">Итого метраж</t>
  </si>
  <si>
    <t xml:space="preserve">Монтаж лестничной стены</t>
  </si>
  <si>
    <t xml:space="preserve">Канализация</t>
  </si>
  <si>
    <t xml:space="preserve">Отдел. работы</t>
  </si>
  <si>
    <t xml:space="preserve">площадь</t>
  </si>
  <si>
    <t xml:space="preserve">Покраска</t>
  </si>
  <si>
    <t xml:space="preserve">Шпатлёвка</t>
  </si>
  <si>
    <t xml:space="preserve">Штукатурка балки - Часовня</t>
  </si>
  <si>
    <t xml:space="preserve">откос окна</t>
  </si>
  <si>
    <t xml:space="preserve">Покраска лестничной стены 1й слой</t>
  </si>
  <si>
    <t xml:space="preserve">Покраска потолка на входе</t>
  </si>
  <si>
    <t xml:space="preserve">Покраска стен - балка</t>
  </si>
  <si>
    <t xml:space="preserve">Покраска стен на входе</t>
  </si>
  <si>
    <t xml:space="preserve">Ремонт откосов</t>
  </si>
  <si>
    <t xml:space="preserve">Уголки на балке возле кухни</t>
  </si>
  <si>
    <t xml:space="preserve">Формирование внешнего углa потолка</t>
  </si>
  <si>
    <t xml:space="preserve">Шпатлевание стены</t>
  </si>
  <si>
    <t xml:space="preserve">Шпатлевание стены коридора 2 этажа</t>
  </si>
  <si>
    <t xml:space="preserve">Шпатлевание стены перегородки узкий корид.</t>
  </si>
  <si>
    <t xml:space="preserve">Шпатлевание стены перегородки шир. корид.</t>
  </si>
  <si>
    <t xml:space="preserve">Монтаж ГКЛ на метал для колонны под балкой Фойе</t>
  </si>
  <si>
    <t xml:space="preserve">Date</t>
  </si>
  <si>
    <t xml:space="preserve">Amt BYN</t>
  </si>
  <si>
    <t xml:space="preserve">Amt USD</t>
  </si>
  <si>
    <t xml:space="preserve">for BYN to USD Conversion, use https://myfin.by/currency/usd</t>
  </si>
  <si>
    <t xml:space="preserve">Курс НБРБ (BYN за 1 USD)</t>
  </si>
  <si>
    <t xml:space="preserve">Источник: api.nbrb.by, официальный курс на дату платежа (из сводки HTML)</t>
  </si>
  <si>
    <t xml:space="preserve">Курс НБРБ, BYN за 1 USD (10.05.2025)</t>
  </si>
  <si>
    <t xml:space="preserve">Тип работ (наш прайс)</t>
  </si>
  <si>
    <t xml:space="preserve">Наш прайс, $</t>
  </si>
  <si>
    <t xml:space="preserve">Рыночная цена, $ (среднее по сайтам)</t>
  </si>
  <si>
    <t xml:space="preserve">Сайты и цены, BYN</t>
  </si>
  <si>
    <t xml:space="preserve">Сопоставление (наименование на сайте)</t>
  </si>
  <si>
    <t xml:space="preserve">Manhattan L1</t>
  </si>
  <si>
    <t xml:space="preserve">Сходство</t>
  </si>
  <si>
    <t xml:space="preserve">Уверенность</t>
  </si>
  <si>
    <t xml:space="preserve">luxstroy.by: 2</t>
  </si>
  <si>
    <t xml:space="preserve">грунтовка стен 1 слой</t>
  </si>
  <si>
    <t xml:space="preserve">1</t>
  </si>
  <si>
    <t xml:space="preserve">0.86</t>
  </si>
  <si>
    <t xml:space="preserve">Высокая</t>
  </si>
  <si>
    <t xml:space="preserve">remontnik-minsk.by: 40</t>
  </si>
  <si>
    <t xml:space="preserve">Демонтаж радиатора отопления (с сохранением)</t>
  </si>
  <si>
    <t xml:space="preserve">0.75</t>
  </si>
  <si>
    <t xml:space="preserve">luxstroy.by: 10</t>
  </si>
  <si>
    <t xml:space="preserve">монтаж плинтуса потолочного шириной до 5 см</t>
  </si>
  <si>
    <t xml:space="preserve">0.67</t>
  </si>
  <si>
    <t xml:space="preserve">luxstroy.by: 30</t>
  </si>
  <si>
    <t xml:space="preserve">Устройство потолка из гипсокартона</t>
  </si>
  <si>
    <t xml:space="preserve">0.60</t>
  </si>
  <si>
    <t xml:space="preserve">luxstroy.by: 25</t>
  </si>
  <si>
    <t xml:space="preserve">устройство скрытых подсветок, коробов из ГКЛ</t>
  </si>
  <si>
    <t xml:space="preserve">0.44</t>
  </si>
  <si>
    <t xml:space="preserve">Проверить</t>
  </si>
  <si>
    <t xml:space="preserve">luxstroy.by: 32</t>
  </si>
  <si>
    <t xml:space="preserve">монтаж гипсокартона по металлическому каркасу в 1 слой</t>
  </si>
  <si>
    <t xml:space="preserve">0.33</t>
  </si>
  <si>
    <t xml:space="preserve">remontnik-minsk.by: 12; luxstroy.by: 14</t>
  </si>
  <si>
    <t xml:space="preserve">Поклейка обоев; поклейка обоев</t>
  </si>
  <si>
    <t xml:space="preserve">3; 3</t>
  </si>
  <si>
    <t xml:space="preserve">0.40; 0.40</t>
  </si>
  <si>
    <t xml:space="preserve">Проверить; Проверить</t>
  </si>
  <si>
    <t xml:space="preserve">Штробление и монтаж подрозетника</t>
  </si>
  <si>
    <t xml:space="preserve">0.50</t>
  </si>
  <si>
    <t xml:space="preserve">Курс и допущения: luxstroy.by — валюта на странице не указана, принято BYN; remontnik-minsk.by «руб.» принято как BYN; сайты дают цены «под ключ мастера», у нас ставки подрядчика.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</si>
</sst>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"/>
    <numFmt numFmtId="167" formatCode="0.0"/>
    <numFmt numFmtId="168" formatCode="\$#,##0.00"/>
    <numFmt numFmtId="169" formatCode="#,##0.00"/>
    <numFmt numFmtId="170" formatCode="d\-mmm\-yyyy"/>
    <numFmt numFmtId="171" formatCode="#,##0"/>
  </numFmts>
  <fonts count="3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0"/>
      <color theme="1"/>
      <name val="Arial"/>
      <family val="0"/>
      <charset val="1"/>
    </font>
    <font>
      <sz val="11"/>
      <color rgb="FFA61C00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theme="9"/>
      <name val="Calibri"/>
      <family val="0"/>
      <charset val="1"/>
    </font>
    <font>
      <sz val="11"/>
      <color rgb="FFFF00FF"/>
      <name val="Calibri"/>
      <family val="0"/>
      <charset val="1"/>
    </font>
    <font>
      <sz val="11"/>
      <color rgb="FFA64D79"/>
      <name val="Calibri"/>
      <family val="0"/>
      <charset val="1"/>
    </font>
    <font>
      <sz val="11"/>
      <color rgb="FFFF0000"/>
      <name val="Calibri"/>
      <family val="0"/>
      <charset val="1"/>
    </font>
    <font>
      <sz val="11"/>
      <color rgb="FF274E13"/>
      <name val="Calibri"/>
      <family val="0"/>
      <charset val="1"/>
    </font>
    <font>
      <sz val="11"/>
      <color rgb="FF660000"/>
      <name val="Calibri"/>
      <family val="0"/>
      <charset val="1"/>
    </font>
    <font>
      <sz val="11"/>
      <color rgb="FFB45F06"/>
      <name val="Calibri"/>
      <family val="0"/>
      <charset val="1"/>
    </font>
    <font>
      <sz val="11"/>
      <color rgb="FF6FA8DC"/>
      <name val="Calibri"/>
      <family val="0"/>
      <charset val="1"/>
    </font>
    <font>
      <sz val="11"/>
      <color rgb="FF45818E"/>
      <name val="Calibri"/>
      <family val="0"/>
      <charset val="1"/>
    </font>
    <font>
      <sz val="11"/>
      <color rgb="FFFF9900"/>
      <name val="Calibri"/>
      <family val="0"/>
      <charset val="1"/>
    </font>
    <font>
      <sz val="11"/>
      <color rgb="FF674EA7"/>
      <name val="Calibri"/>
      <family val="0"/>
      <charset val="1"/>
    </font>
    <font>
      <sz val="11"/>
      <color rgb="FF38761D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1"/>
      <color rgb="FF4A86E8"/>
      <name val="Calibri"/>
      <family val="0"/>
      <charset val="1"/>
    </font>
    <font>
      <b val="true"/>
      <sz val="10"/>
      <color theme="1"/>
      <name val="Arial"/>
      <family val="0"/>
      <charset val="1"/>
    </font>
    <font>
      <sz val="11"/>
      <color rgb="FFF6B26B"/>
      <name val="Calibri"/>
      <family val="0"/>
      <charset val="1"/>
    </font>
    <font>
      <sz val="11"/>
      <color rgb="FFD5A6BD"/>
      <name val="Calibri"/>
      <family val="0"/>
      <charset val="1"/>
    </font>
    <font>
      <i val="true"/>
      <sz val="11"/>
      <color rgb="FF674EA7"/>
      <name val="Calibri"/>
      <family val="0"/>
      <charset val="1"/>
    </font>
    <font>
      <i val="true"/>
      <sz val="11"/>
      <color rgb="FF0000FF"/>
      <name val="Calibri"/>
      <family val="0"/>
      <charset val="1"/>
    </font>
    <font>
      <b val="true"/>
      <i val="true"/>
      <sz val="10"/>
      <color theme="1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FFC7CE"/>
        <bgColor rgb="FFEAD1DC"/>
      </patternFill>
    </fill>
    <fill>
      <patternFill patternType="solid">
        <fgColor rgb="FFFFE599"/>
        <bgColor rgb="FFFFEB9C"/>
      </patternFill>
    </fill>
    <fill>
      <patternFill patternType="solid">
        <fgColor rgb="FF93C47D"/>
        <bgColor rgb="FFA2C4C9"/>
      </patternFill>
    </fill>
    <fill>
      <patternFill patternType="solid">
        <fgColor rgb="FFA4C2F4"/>
        <bgColor rgb="FFA2C4C9"/>
      </patternFill>
    </fill>
    <fill>
      <patternFill patternType="solid">
        <fgColor rgb="FFFCE4D6"/>
        <bgColor rgb="FFEAD1DC"/>
      </patternFill>
    </fill>
    <fill>
      <patternFill patternType="solid">
        <fgColor rgb="FFF6B26B"/>
        <bgColor rgb="FFD5A6BD"/>
      </patternFill>
    </fill>
    <fill>
      <patternFill patternType="solid">
        <fgColor rgb="FFFFEB9C"/>
        <bgColor rgb="FFFFE599"/>
      </patternFill>
    </fill>
    <fill>
      <patternFill patternType="solid">
        <fgColor rgb="FFFF00FF"/>
        <bgColor rgb="FFFF00FF"/>
      </patternFill>
    </fill>
    <fill>
      <patternFill patternType="solid">
        <fgColor rgb="FFA64D79"/>
        <bgColor rgb="FF993366"/>
      </patternFill>
    </fill>
    <fill>
      <patternFill patternType="solid">
        <fgColor rgb="FFEAD1DC"/>
        <bgColor rgb="FFFFC7CE"/>
      </patternFill>
    </fill>
    <fill>
      <patternFill patternType="solid">
        <fgColor rgb="FFC9DAF8"/>
        <bgColor rgb="FFEAD1DC"/>
      </patternFill>
    </fill>
    <fill>
      <patternFill patternType="solid">
        <fgColor rgb="FF6FA8DC"/>
        <bgColor rgb="FF46BDC6"/>
      </patternFill>
    </fill>
    <fill>
      <patternFill patternType="solid">
        <fgColor rgb="FFB4A7D6"/>
        <bgColor rgb="FFD5A6BD"/>
      </patternFill>
    </fill>
    <fill>
      <patternFill patternType="solid">
        <fgColor rgb="FFD5A6BD"/>
        <bgColor rgb="FFB4A7D6"/>
      </patternFill>
    </fill>
    <fill>
      <patternFill patternType="solid">
        <fgColor rgb="FFA2C4C9"/>
        <bgColor rgb="FFA4C2F4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2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9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9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1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ill>
        <patternFill patternType="solid">
          <fgColor rgb="FFFF00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274E13"/>
          <bgColor rgb="FF000000"/>
        </patternFill>
      </fill>
    </dxf>
    <dxf>
      <fill>
        <patternFill patternType="solid">
          <fgColor rgb="FF38761D"/>
          <bgColor rgb="FF000000"/>
        </patternFill>
      </fill>
    </dxf>
    <dxf>
      <fill>
        <patternFill patternType="solid">
          <fgColor rgb="FF45818E"/>
          <bgColor rgb="FF000000"/>
        </patternFill>
      </fill>
    </dxf>
    <dxf>
      <fill>
        <patternFill patternType="solid">
          <fgColor rgb="FF46BDC6"/>
          <bgColor rgb="FF000000"/>
        </patternFill>
      </fill>
    </dxf>
    <dxf>
      <fill>
        <patternFill patternType="solid">
          <fgColor rgb="FF660000"/>
          <bgColor rgb="FF000000"/>
        </patternFill>
      </fill>
    </dxf>
    <dxf>
      <fill>
        <patternFill patternType="solid">
          <fgColor rgb="FF674EA7"/>
          <bgColor rgb="FF000000"/>
        </patternFill>
      </fill>
    </dxf>
    <dxf>
      <fill>
        <patternFill patternType="solid">
          <fgColor rgb="FF6FA8DC"/>
          <bgColor rgb="FF000000"/>
        </patternFill>
      </fill>
    </dxf>
    <dxf>
      <fill>
        <patternFill patternType="solid">
          <fgColor rgb="FFA61C00"/>
          <bgColor rgb="FF000000"/>
        </patternFill>
      </fill>
    </dxf>
    <dxf>
      <fill>
        <patternFill patternType="solid">
          <fgColor rgb="FFA64D79"/>
          <bgColor rgb="FF000000"/>
        </patternFill>
      </fill>
    </dxf>
    <dxf>
      <fill>
        <patternFill patternType="solid">
          <fgColor rgb="FFB45F06"/>
          <bgColor rgb="FF000000"/>
        </patternFill>
      </fill>
    </dxf>
    <dxf>
      <fill>
        <patternFill patternType="solid">
          <fgColor rgb="FFF6B26B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9900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FE599"/>
          <bgColor rgb="FF000000"/>
        </patternFill>
      </fill>
    </dxf>
    <dxf>
      <fill>
        <patternFill patternType="solid">
          <fgColor rgb="FF93C47D"/>
          <bgColor rgb="FF000000"/>
        </patternFill>
      </fill>
    </dxf>
    <dxf>
      <fill>
        <patternFill patternType="solid">
          <fgColor rgb="FFD5A6BD"/>
          <bgColor rgb="FF000000"/>
        </patternFill>
      </fill>
    </dxf>
    <dxf>
      <fill>
        <patternFill patternType="solid">
          <fgColor rgb="FFA4C2F4"/>
          <bgColor rgb="FF000000"/>
        </patternFill>
      </fill>
    </dxf>
    <dxf>
      <fill>
        <patternFill patternType="solid">
          <fgColor rgb="FFB4A7D6"/>
          <bgColor rgb="FF000000"/>
        </patternFill>
      </fill>
    </dxf>
    <dxf>
      <fill>
        <patternFill patternType="solid">
          <fgColor rgb="FFC9DAF8"/>
          <bgColor rgb="FF000000"/>
        </patternFill>
      </fill>
    </dxf>
    <dxf>
      <fill>
        <patternFill patternType="solid">
          <fgColor rgb="FF4A86E8"/>
          <bgColor rgb="FF000000"/>
        </patternFill>
      </fill>
    </dxf>
    <dxf>
      <fill>
        <patternFill>
          <bgColor rgb="FFEAD1DC"/>
        </patternFill>
      </fill>
    </dxf>
    <dxf>
      <fill>
        <patternFill>
          <bgColor rgb="FFFFE599"/>
        </patternFill>
      </fill>
    </dxf>
  </dxfs>
  <colors>
    <indexedColors>
      <rgbColor rgb="FF000000"/>
      <rgbColor rgb="FFEAD1DC"/>
      <rgbColor rgb="FFFF0000"/>
      <rgbColor rgb="FF00FF00"/>
      <rgbColor rgb="FF0000FF"/>
      <rgbColor rgb="FFFFFF00"/>
      <rgbColor rgb="FFFF00FF"/>
      <rgbColor rgb="FF00FFFF"/>
      <rgbColor rgb="FF660000"/>
      <rgbColor rgb="FF38761D"/>
      <rgbColor rgb="FF000080"/>
      <rgbColor rgb="FFB45F06"/>
      <rgbColor rgb="FF800080"/>
      <rgbColor rgb="FF008080"/>
      <rgbColor rgb="FFA2C4C9"/>
      <rgbColor rgb="FF808080"/>
      <rgbColor rgb="FF6FA8DC"/>
      <rgbColor rgb="FFA64D79"/>
      <rgbColor rgb="FFFCE4D6"/>
      <rgbColor rgb="FFCCFFFF"/>
      <rgbColor rgb="FF660066"/>
      <rgbColor rgb="FFF6B26B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FE599"/>
      <rgbColor rgb="FFFFEB9C"/>
      <rgbColor rgb="FFA4C2F4"/>
      <rgbColor rgb="FFD5A6BD"/>
      <rgbColor rgb="FFB4A7D6"/>
      <rgbColor rgb="FFFFC7CE"/>
      <rgbColor rgb="FF4A86E8"/>
      <rgbColor rgb="FF46BDC6"/>
      <rgbColor rgb="FF99CC00"/>
      <rgbColor rgb="FFFFCC00"/>
      <rgbColor rgb="FFFF9900"/>
      <rgbColor rgb="FFFF6600"/>
      <rgbColor rgb="FF674EA7"/>
      <rgbColor rgb="FF93C47D"/>
      <rgbColor rgb="FF003366"/>
      <rgbColor rgb="FF45818E"/>
      <rgbColor rgb="FF003300"/>
      <rgbColor rgb="FF274E13"/>
      <rgbColor rgb="FFA61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</cols>
  <sheetData>
    <row r="1" customFormat="false" ht="15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</row>
    <row r="2" customFormat="false" ht="15" hidden="false" customHeight="true" outlineLevel="0" collapsed="false">
      <c r="A2" s="1" t="s">
        <v>4</v>
      </c>
      <c r="B2" s="1" t="n">
        <f aca="false">SUMPRODUCT((TRIM('B&amp;B апрель 2025'!$A$2:$A$1311)=A2)*N(+'B&amp;B апрель 2025'!$H$2:$H$1311))</f>
        <v>342.63705</v>
      </c>
      <c r="C2" s="3" t="n">
        <f aca="false">SUMPRODUCT((TRIM('B&amp;B апрель 2025'!$A$2:$A$1311)=A2)*N(+'B&amp;B апрель 2025'!$L$2:$L$1311))</f>
        <v>367.16060964673</v>
      </c>
      <c r="D2" s="3" t="n">
        <f aca="false">C2-B2</f>
        <v>24.5235596467301</v>
      </c>
    </row>
    <row r="3" customFormat="false" ht="15" hidden="false" customHeight="true" outlineLevel="0" collapsed="false">
      <c r="A3" s="1" t="s">
        <v>5</v>
      </c>
      <c r="B3" s="1" t="n">
        <f aca="false">SUMPRODUCT((TRIM('B&amp;B апрель 2025'!$A$2:$A$1311)=A3)*N(+'B&amp;B апрель 2025'!$H$2:$H$1311))</f>
        <v>0</v>
      </c>
      <c r="C3" s="3" t="n">
        <f aca="false">SUMPRODUCT((TRIM('B&amp;B апрель 2025'!$A$2:$A$1311)=A3)*N(+'B&amp;B апрель 2025'!$L$2:$L$1311))</f>
        <v>0</v>
      </c>
      <c r="D3" s="3" t="n">
        <f aca="false">C3-B3</f>
        <v>0</v>
      </c>
    </row>
    <row r="4" customFormat="false" ht="15" hidden="false" customHeight="true" outlineLevel="0" collapsed="false">
      <c r="A4" s="1" t="s">
        <v>6</v>
      </c>
      <c r="B4" s="1" t="n">
        <f aca="false">SUMPRODUCT((TRIM('B&amp;B апрель 2025'!$A$2:$A$1311)=A4)*N(+'B&amp;B апрель 2025'!$H$2:$H$1311))</f>
        <v>245.115</v>
      </c>
      <c r="C4" s="3" t="n">
        <f aca="false">SUMPRODUCT((TRIM('B&amp;B апрель 2025'!$A$2:$A$1311)=A4)*N(+'B&amp;B апрель 2025'!$L$2:$L$1311))</f>
        <v>255.038990752445</v>
      </c>
      <c r="D4" s="3" t="n">
        <f aca="false">C4-B4</f>
        <v>9.92399075244495</v>
      </c>
    </row>
    <row r="5" customFormat="false" ht="15" hidden="false" customHeight="true" outlineLevel="0" collapsed="false">
      <c r="A5" s="1" t="s">
        <v>7</v>
      </c>
      <c r="B5" s="1" t="n">
        <f aca="false">SUMPRODUCT((TRIM('B&amp;B апрель 2025'!$A$2:$A$1311)=A5)*N(+'B&amp;B апрель 2025'!$H$2:$H$1311))</f>
        <v>172.9642</v>
      </c>
      <c r="C5" s="3" t="n">
        <f aca="false">SUMPRODUCT((TRIM('B&amp;B апрель 2025'!$A$2:$A$1311)=A5)*N(+'B&amp;B апрель 2025'!$L$2:$L$1311))</f>
        <v>172.9642</v>
      </c>
      <c r="D5" s="3" t="n">
        <f aca="false">C5-B5</f>
        <v>0</v>
      </c>
    </row>
    <row r="6" customFormat="false" ht="15" hidden="false" customHeight="true" outlineLevel="0" collapsed="false">
      <c r="A6" s="1" t="s">
        <v>8</v>
      </c>
      <c r="B6" s="1" t="n">
        <f aca="false">SUMPRODUCT((TRIM('B&amp;B апрель 2025'!$A$2:$A$1311)=A6)*N(+'B&amp;B апрель 2025'!$H$2:$H$1311))</f>
        <v>9.5</v>
      </c>
      <c r="C6" s="3" t="n">
        <f aca="false">SUMPRODUCT((TRIM('B&amp;B апрель 2025'!$A$2:$A$1311)=A6)*N(+'B&amp;B апрель 2025'!$L$2:$L$1311))</f>
        <v>9.5</v>
      </c>
      <c r="D6" s="3" t="n">
        <f aca="false">C6-B6</f>
        <v>0</v>
      </c>
    </row>
    <row r="7" customFormat="false" ht="15" hidden="false" customHeight="true" outlineLevel="0" collapsed="false">
      <c r="A7" s="1" t="s">
        <v>9</v>
      </c>
      <c r="B7" s="1" t="n">
        <f aca="false">SUMPRODUCT((TRIM('B&amp;B апрель 2025'!$A$2:$A$1311)=A7)*N(+'B&amp;B апрель 2025'!$H$2:$H$1311))</f>
        <v>775.4622</v>
      </c>
      <c r="C7" s="3" t="n">
        <f aca="false">SUMPRODUCT((TRIM('B&amp;B апрель 2025'!$A$2:$A$1311)=A7)*N(+'B&amp;B апрель 2025'!$L$2:$L$1311))</f>
        <v>842.662689687978</v>
      </c>
      <c r="D7" s="3" t="n">
        <f aca="false">C7-B7</f>
        <v>67.2004896879781</v>
      </c>
    </row>
    <row r="8" customFormat="false" ht="15" hidden="false" customHeight="true" outlineLevel="0" collapsed="false">
      <c r="A8" s="1" t="s">
        <v>10</v>
      </c>
      <c r="B8" s="1" t="n">
        <f aca="false">SUMPRODUCT((TRIM('B&amp;B апрель 2025'!$A$2:$A$1311)=A8)*N(+'B&amp;B апрель 2025'!$H$2:$H$1311))</f>
        <v>26.5093</v>
      </c>
      <c r="C8" s="3" t="n">
        <f aca="false">SUMPRODUCT((TRIM('B&amp;B апрель 2025'!$A$2:$A$1311)=A8)*N(+'B&amp;B апрель 2025'!$L$2:$L$1311))</f>
        <v>31.5621831548134</v>
      </c>
      <c r="D8" s="3" t="n">
        <f aca="false">C8-B8</f>
        <v>5.05288315481338</v>
      </c>
    </row>
    <row r="9" customFormat="false" ht="15" hidden="false" customHeight="true" outlineLevel="0" collapsed="false">
      <c r="A9" s="1" t="s">
        <v>11</v>
      </c>
      <c r="B9" s="1" t="n">
        <f aca="false">SUMPRODUCT((TRIM('B&amp;B апрель 2025'!$A$2:$A$1311)=A9)*N(+'B&amp;B апрель 2025'!$H$2:$H$1311))</f>
        <v>284.29715</v>
      </c>
      <c r="C9" s="3" t="n">
        <f aca="false">SUMPRODUCT((TRIM('B&amp;B апрель 2025'!$A$2:$A$1311)=A9)*N(+'B&amp;B апрель 2025'!$L$2:$L$1311))</f>
        <v>305.855228827091</v>
      </c>
      <c r="D9" s="3" t="n">
        <f aca="false">C9-B9</f>
        <v>21.5580788270906</v>
      </c>
    </row>
    <row r="10" customFormat="false" ht="15" hidden="false" customHeight="true" outlineLevel="0" collapsed="false">
      <c r="A10" s="1" t="s">
        <v>12</v>
      </c>
      <c r="B10" s="1" t="n">
        <f aca="false">SUMPRODUCT((TRIM('B&amp;B апрель 2025'!$A$2:$A$1311)=A10)*N(+'B&amp;B апрель 2025'!$H$2:$H$1311))</f>
        <v>291.5417</v>
      </c>
      <c r="C10" s="3" t="n">
        <f aca="false">SUMPRODUCT((TRIM('B&amp;B апрель 2025'!$A$2:$A$1311)=A10)*N(+'B&amp;B апрель 2025'!$L$2:$L$1311))</f>
        <v>310.919363275897</v>
      </c>
      <c r="D10" s="3" t="n">
        <f aca="false">C10-B10</f>
        <v>19.3776632758965</v>
      </c>
    </row>
    <row r="11" customFormat="false" ht="15" hidden="false" customHeight="true" outlineLevel="0" collapsed="false">
      <c r="A11" s="1" t="s">
        <v>13</v>
      </c>
      <c r="B11" s="1" t="n">
        <f aca="false">SUMPRODUCT((TRIM('B&amp;B апрель 2025'!$A$2:$A$1311)=A11)*N(+'B&amp;B апрель 2025'!$H$2:$H$1311))</f>
        <v>161.1811</v>
      </c>
      <c r="C11" s="3" t="n">
        <f aca="false">SUMPRODUCT((TRIM('B&amp;B апрель 2025'!$A$2:$A$1311)=A11)*N(+'B&amp;B апрель 2025'!$L$2:$L$1311))</f>
        <v>164.766878876988</v>
      </c>
      <c r="D11" s="3" t="n">
        <f aca="false">C11-B11</f>
        <v>3.58577887698755</v>
      </c>
    </row>
    <row r="12" customFormat="false" ht="15" hidden="false" customHeight="true" outlineLevel="0" collapsed="false">
      <c r="A12" s="1" t="s">
        <v>14</v>
      </c>
      <c r="B12" s="1" t="n">
        <f aca="false">SUMPRODUCT((TRIM('B&amp;B апрель 2025'!$A$2:$A$1311)=A12)*N(+'B&amp;B апрель 2025'!$H$2:$H$1311))</f>
        <v>0</v>
      </c>
      <c r="C12" s="3" t="n">
        <f aca="false">SUMPRODUCT((TRIM('B&amp;B апрель 2025'!$A$2:$A$1311)=A12)*N(+'B&amp;B апрель 2025'!$L$2:$L$1311))</f>
        <v>0</v>
      </c>
      <c r="D12" s="3" t="n">
        <f aca="false">C12-B12</f>
        <v>0</v>
      </c>
    </row>
    <row r="13" customFormat="false" ht="15" hidden="false" customHeight="true" outlineLevel="0" collapsed="false">
      <c r="A13" s="1" t="s">
        <v>15</v>
      </c>
      <c r="B13" s="1" t="n">
        <f aca="false">SUMPRODUCT((TRIM('B&amp;B апрель 2025'!$A$2:$A$1311)=A13)*N(+'B&amp;B апрель 2025'!$H$2:$H$1311))</f>
        <v>361.899375</v>
      </c>
      <c r="C13" s="3" t="n">
        <f aca="false">SUMPRODUCT((TRIM('B&amp;B апрель 2025'!$A$2:$A$1311)=A13)*N(+'B&amp;B апрель 2025'!$L$2:$L$1311))</f>
        <v>395.53701827889</v>
      </c>
      <c r="D13" s="3" t="n">
        <f aca="false">C13-B13</f>
        <v>33.6376432788903</v>
      </c>
    </row>
    <row r="14" customFormat="false" ht="15" hidden="false" customHeight="true" outlineLevel="0" collapsed="false">
      <c r="A14" s="1" t="s">
        <v>16</v>
      </c>
      <c r="B14" s="1" t="n">
        <f aca="false">SUMPRODUCT((TRIM('B&amp;B апрель 2025'!$A$2:$A$1311)=A14)*N(+'B&amp;B апрель 2025'!$H$2:$H$1311))</f>
        <v>110.928</v>
      </c>
      <c r="C14" s="3" t="n">
        <f aca="false">SUMPRODUCT((TRIM('B&amp;B апрель 2025'!$A$2:$A$1311)=A14)*N(+'B&amp;B апрель 2025'!$L$2:$L$1311))</f>
        <v>113.832374053623</v>
      </c>
      <c r="D14" s="3" t="n">
        <f aca="false">C14-B14</f>
        <v>2.90437405362252</v>
      </c>
    </row>
    <row r="15" customFormat="false" ht="15" hidden="false" customHeight="true" outlineLevel="0" collapsed="false">
      <c r="A15" s="1" t="s">
        <v>17</v>
      </c>
      <c r="B15" s="1" t="n">
        <f aca="false">SUMPRODUCT((TRIM('B&amp;B апрель 2025'!$A$2:$A$1311)=A15)*N(+'B&amp;B апрель 2025'!$H$2:$H$1311))</f>
        <v>127.42305</v>
      </c>
      <c r="C15" s="3" t="n">
        <f aca="false">SUMPRODUCT((TRIM('B&amp;B апрель 2025'!$A$2:$A$1311)=A15)*N(+'B&amp;B апрель 2025'!$L$2:$L$1311))</f>
        <v>136.020049590846</v>
      </c>
      <c r="D15" s="3" t="n">
        <f aca="false">C15-B15</f>
        <v>8.59699959084558</v>
      </c>
    </row>
    <row r="16" customFormat="false" ht="15" hidden="false" customHeight="true" outlineLevel="0" collapsed="false">
      <c r="A16" s="1" t="s">
        <v>18</v>
      </c>
      <c r="B16" s="1" t="n">
        <f aca="false">SUMPRODUCT((TRIM('B&amp;B апрель 2025'!$A$2:$A$1311)=A16)*N(+'B&amp;B апрель 2025'!$H$2:$H$1311))</f>
        <v>0</v>
      </c>
      <c r="C16" s="3" t="n">
        <f aca="false">SUMPRODUCT((TRIM('B&amp;B апрель 2025'!$A$2:$A$1311)=A16)*N(+'B&amp;B апрель 2025'!$L$2:$L$1311))</f>
        <v>0</v>
      </c>
      <c r="D16" s="3" t="n">
        <f aca="false">C16-B16</f>
        <v>0</v>
      </c>
    </row>
    <row r="17" customFormat="false" ht="15" hidden="false" customHeight="true" outlineLevel="0" collapsed="false">
      <c r="A17" s="1" t="s">
        <v>19</v>
      </c>
      <c r="B17" s="1" t="n">
        <f aca="false">SUMPRODUCT((TRIM('B&amp;B апрель 2025'!$A$2:$A$1311)=A17)*N(+'B&amp;B апрель 2025'!$H$2:$H$1311))</f>
        <v>313.9422</v>
      </c>
      <c r="C17" s="3" t="n">
        <f aca="false">SUMPRODUCT((TRIM('B&amp;B апрель 2025'!$A$2:$A$1311)=A17)*N(+'B&amp;B апрель 2025'!$L$2:$L$1311))</f>
        <v>321.102042711729</v>
      </c>
      <c r="D17" s="3" t="n">
        <f aca="false">C17-B17</f>
        <v>7.15984271172908</v>
      </c>
    </row>
    <row r="18" customFormat="false" ht="15" hidden="false" customHeight="true" outlineLevel="0" collapsed="false">
      <c r="A18" s="1" t="s">
        <v>20</v>
      </c>
      <c r="B18" s="1" t="n">
        <f aca="false">SUMPRODUCT((TRIM('B&amp;B апрель 2025'!$A$2:$A$1311)=A18)*N(+'B&amp;B апрель 2025'!$H$2:$H$1311))</f>
        <v>433.2256</v>
      </c>
      <c r="C18" s="3" t="n">
        <f aca="false">SUMPRODUCT((TRIM('B&amp;B апрель 2025'!$A$2:$A$1311)=A18)*N(+'B&amp;B апрель 2025'!$L$2:$L$1311))</f>
        <v>503.738656117357</v>
      </c>
      <c r="D18" s="3" t="n">
        <f aca="false">C18-B18</f>
        <v>70.5130561173575</v>
      </c>
    </row>
    <row r="19" customFormat="false" ht="15" hidden="false" customHeight="true" outlineLevel="0" collapsed="false">
      <c r="A19" s="1" t="s">
        <v>21</v>
      </c>
      <c r="B19" s="1" t="n">
        <f aca="false">SUMPRODUCT((TRIM('B&amp;B апрель 2025'!$A$2:$A$1311)=A19)*N(+'B&amp;B апрель 2025'!$H$2:$H$1311))</f>
        <v>125.595</v>
      </c>
      <c r="C19" s="3" t="n">
        <f aca="false">SUMPRODUCT((TRIM('B&amp;B апрель 2025'!$A$2:$A$1311)=A19)*N(+'B&amp;B апрель 2025'!$L$2:$L$1311))</f>
        <v>147.243724635753</v>
      </c>
      <c r="D19" s="3" t="n">
        <f aca="false">C19-B19</f>
        <v>21.6487246357528</v>
      </c>
    </row>
    <row r="20" customFormat="false" ht="15" hidden="false" customHeight="true" outlineLevel="0" collapsed="false">
      <c r="A20" s="1" t="s">
        <v>22</v>
      </c>
      <c r="B20" s="1" t="n">
        <f aca="false">SUMPRODUCT((TRIM('B&amp;B апрель 2025'!$A$2:$A$1311)=A20)*N(+'B&amp;B апрель 2025'!$H$2:$H$1311))</f>
        <v>813.9112</v>
      </c>
      <c r="C20" s="3" t="n">
        <f aca="false">SUMPRODUCT((TRIM('B&amp;B апрель 2025'!$A$2:$A$1311)=A20)*N(+'B&amp;B апрель 2025'!$L$2:$L$1311))</f>
        <v>845.640955571818</v>
      </c>
      <c r="D20" s="3" t="n">
        <f aca="false">C20-B20</f>
        <v>31.7297555718183</v>
      </c>
    </row>
    <row r="21" customFormat="false" ht="15" hidden="false" customHeight="true" outlineLevel="0" collapsed="false">
      <c r="A21" s="1" t="s">
        <v>23</v>
      </c>
      <c r="B21" s="1" t="n">
        <f aca="false">SUMPRODUCT((TRIM('B&amp;B апрель 2025'!$A$2:$A$1311)=A21)*N(+'B&amp;B апрель 2025'!$H$2:$H$1311))</f>
        <v>198.34525</v>
      </c>
      <c r="C21" s="3" t="n">
        <f aca="false">SUMPRODUCT((TRIM('B&amp;B апрель 2025'!$A$2:$A$1311)=A21)*N(+'B&amp;B апрель 2025'!$L$2:$L$1311))</f>
        <v>202.372004490719</v>
      </c>
      <c r="D21" s="3" t="n">
        <f aca="false">C21-B21</f>
        <v>4.02675449071919</v>
      </c>
    </row>
    <row r="22" customFormat="false" ht="15" hidden="false" customHeight="true" outlineLevel="0" collapsed="false">
      <c r="A22" s="1" t="s">
        <v>24</v>
      </c>
      <c r="B22" s="1" t="n">
        <f aca="false">SUMPRODUCT((TRIM('B&amp;B апрель 2025'!$A$2:$A$1311)=A22)*N(+'B&amp;B апрель 2025'!$H$2:$H$1311))</f>
        <v>36.993</v>
      </c>
      <c r="C22" s="3" t="n">
        <f aca="false">SUMPRODUCT((TRIM('B&amp;B апрель 2025'!$A$2:$A$1311)=A22)*N(+'B&amp;B апрель 2025'!$L$2:$L$1311))</f>
        <v>41.0589115161999</v>
      </c>
      <c r="D22" s="3" t="n">
        <f aca="false">C22-B22</f>
        <v>4.06591151619985</v>
      </c>
    </row>
    <row r="23" customFormat="false" ht="15" hidden="false" customHeight="true" outlineLevel="0" collapsed="false">
      <c r="A23" s="1" t="s">
        <v>25</v>
      </c>
      <c r="B23" s="1" t="n">
        <f aca="false">SUMPRODUCT((TRIM('B&amp;B апрель 2025'!$A$2:$A$1311)=A23)*N(+'B&amp;B апрель 2025'!$H$2:$H$1311))</f>
        <v>230.1189</v>
      </c>
      <c r="C23" s="3" t="n">
        <f aca="false">SUMPRODUCT((TRIM('B&amp;B апрель 2025'!$A$2:$A$1311)=A23)*N(+'B&amp;B апрель 2025'!$L$2:$L$1311))</f>
        <v>234.862772663163</v>
      </c>
      <c r="D23" s="3" t="n">
        <f aca="false">C23-B23</f>
        <v>4.74387266316279</v>
      </c>
    </row>
    <row r="24" customFormat="false" ht="15" hidden="false" customHeight="true" outlineLevel="0" collapsed="false">
      <c r="A24" s="1" t="s">
        <v>26</v>
      </c>
      <c r="B24" s="1" t="n">
        <f aca="false">SUMPRODUCT((TRIM('B&amp;B апрель 2025'!$A$2:$A$1311)=A24)*N(+'B&amp;B апрель 2025'!$H$2:$H$1311))</f>
        <v>20.7135</v>
      </c>
      <c r="C24" s="3" t="n">
        <f aca="false">SUMPRODUCT((TRIM('B&amp;B апрель 2025'!$A$2:$A$1311)=A24)*N(+'B&amp;B апрель 2025'!$L$2:$L$1311))</f>
        <v>23.9738939524982</v>
      </c>
      <c r="D24" s="3" t="n">
        <f aca="false">C24-B24</f>
        <v>3.26039395249817</v>
      </c>
    </row>
    <row r="25" customFormat="false" ht="15" hidden="false" customHeight="true" outlineLevel="0" collapsed="false">
      <c r="A25" s="1" t="s">
        <v>27</v>
      </c>
      <c r="B25" s="1" t="n">
        <f aca="false">SUMPRODUCT((TRIM('B&amp;B апрель 2025'!$A$2:$A$1311)=A25)*N(+'B&amp;B апрель 2025'!$H$2:$H$1311))</f>
        <v>325.537</v>
      </c>
      <c r="C25" s="3" t="n">
        <f aca="false">SUMPRODUCT((TRIM('B&amp;B апрель 2025'!$A$2:$A$1311)=A25)*N(+'B&amp;B апрель 2025'!$L$2:$L$1311))</f>
        <v>338.491631228794</v>
      </c>
      <c r="D25" s="3" t="n">
        <f aca="false">C25-B25</f>
        <v>12.9546312287938</v>
      </c>
    </row>
    <row r="26" customFormat="false" ht="15" hidden="false" customHeight="true" outlineLevel="0" collapsed="false">
      <c r="A26" s="1" t="s">
        <v>28</v>
      </c>
      <c r="B26" s="1" t="n">
        <f aca="false">SUMPRODUCT((TRIM('B&amp;B апрель 2025'!$A$2:$A$1311)=A26)*N(+'B&amp;B апрель 2025'!$H$2:$H$1311))</f>
        <v>28.3366</v>
      </c>
      <c r="C26" s="3" t="n">
        <f aca="false">SUMPRODUCT((TRIM('B&amp;B апрель 2025'!$A$2:$A$1311)=A26)*N(+'B&amp;B апрель 2025'!$L$2:$L$1311))</f>
        <v>31.3022194132127</v>
      </c>
      <c r="D26" s="3" t="n">
        <f aca="false">C26-B26</f>
        <v>2.9656194132127</v>
      </c>
    </row>
    <row r="27" customFormat="false" ht="15" hidden="false" customHeight="true" outlineLevel="0" collapsed="false">
      <c r="A27" s="1" t="s">
        <v>29</v>
      </c>
      <c r="B27" s="1" t="n">
        <f aca="false">SUMPRODUCT((TRIM('B&amp;B апрель 2025'!$A$2:$A$1311)=A27)*N(+'B&amp;B апрель 2025'!$H$2:$H$1311))</f>
        <v>154.1532</v>
      </c>
      <c r="C27" s="3" t="n">
        <f aca="false">SUMPRODUCT((TRIM('B&amp;B апрель 2025'!$A$2:$A$1311)=A27)*N(+'B&amp;B апрель 2025'!$L$2:$L$1311))</f>
        <v>159.740090426452</v>
      </c>
      <c r="D27" s="3" t="n">
        <f aca="false">C27-B27</f>
        <v>5.58689042645199</v>
      </c>
    </row>
    <row r="28" customFormat="false" ht="15" hidden="false" customHeight="true" outlineLevel="0" collapsed="false">
      <c r="A28" s="1" t="s">
        <v>30</v>
      </c>
      <c r="B28" s="1" t="n">
        <f aca="false">SUMPRODUCT((TRIM('B&amp;B апрель 2025'!$A$2:$A$1311)=A28)*N(+'B&amp;B апрель 2025'!$H$2:$H$1311))</f>
        <v>39.8649</v>
      </c>
      <c r="C28" s="3" t="n">
        <f aca="false">SUMPRODUCT((TRIM('B&amp;B апрель 2025'!$A$2:$A$1311)=A28)*N(+'B&amp;B апрель 2025'!$L$2:$L$1311))</f>
        <v>40.9440830962677</v>
      </c>
      <c r="D28" s="3" t="n">
        <f aca="false">C28-B28</f>
        <v>1.07918309626771</v>
      </c>
    </row>
    <row r="29" customFormat="false" ht="15" hidden="false" customHeight="true" outlineLevel="0" collapsed="false">
      <c r="A29" s="1" t="s">
        <v>31</v>
      </c>
      <c r="B29" s="1" t="n">
        <f aca="false">SUMPRODUCT((TRIM('B&amp;B апрель 2025'!$A$2:$A$1311)=A29)*N(+'B&amp;B апрель 2025'!$H$2:$H$1311))</f>
        <v>0</v>
      </c>
      <c r="C29" s="3" t="n">
        <f aca="false">SUMPRODUCT((TRIM('B&amp;B апрель 2025'!$A$2:$A$1311)=A29)*N(+'B&amp;B апрель 2025'!$L$2:$L$1311))</f>
        <v>0</v>
      </c>
      <c r="D29" s="3" t="n">
        <f aca="false">C29-B29</f>
        <v>0</v>
      </c>
    </row>
    <row r="30" customFormat="false" ht="15" hidden="false" customHeight="true" outlineLevel="0" collapsed="false">
      <c r="A30" s="1" t="s">
        <v>32</v>
      </c>
      <c r="B30" s="1" t="n">
        <f aca="false">SUMPRODUCT((TRIM('B&amp;B апрель 2025'!$A$2:$A$1311)=A30)*N(+'B&amp;B апрель 2025'!$H$2:$H$1311))</f>
        <v>214.036</v>
      </c>
      <c r="C30" s="3" t="n">
        <f aca="false">SUMPRODUCT((TRIM('B&amp;B апрель 2025'!$A$2:$A$1311)=A30)*N(+'B&amp;B апрель 2025'!$L$2:$L$1311))</f>
        <v>245.942906233783</v>
      </c>
      <c r="D30" s="3" t="n">
        <f aca="false">C30-B30</f>
        <v>31.9069062337835</v>
      </c>
    </row>
    <row r="31" customFormat="false" ht="15" hidden="false" customHeight="true" outlineLevel="0" collapsed="false">
      <c r="A31" s="1" t="s">
        <v>33</v>
      </c>
      <c r="B31" s="1" t="n">
        <f aca="false">SUMPRODUCT((TRIM('B&amp;B апрель 2025'!$A$2:$A$1311)=A31)*N(+'B&amp;B апрель 2025'!$H$2:$H$1311))</f>
        <v>261.3371</v>
      </c>
      <c r="C31" s="3" t="n">
        <f aca="false">SUMPRODUCT((TRIM('B&amp;B апрель 2025'!$A$2:$A$1311)=A31)*N(+'B&amp;B апрель 2025'!$L$2:$L$1311))</f>
        <v>297.549741234781</v>
      </c>
      <c r="D31" s="3" t="n">
        <f aca="false">C31-B31</f>
        <v>36.2126412347814</v>
      </c>
    </row>
    <row r="32" customFormat="false" ht="15" hidden="false" customHeight="true" outlineLevel="0" collapsed="false">
      <c r="A32" s="1" t="s">
        <v>34</v>
      </c>
      <c r="B32" s="1" t="n">
        <f aca="false">SUMPRODUCT((TRIM('B&amp;B апрель 2025'!$A$2:$A$1311)=A32)*N(+'B&amp;B апрель 2025'!$H$2:$H$1311))</f>
        <v>100.6488</v>
      </c>
      <c r="C32" s="3" t="n">
        <f aca="false">SUMPRODUCT((TRIM('B&amp;B апрель 2025'!$A$2:$A$1311)=A32)*N(+'B&amp;B апрель 2025'!$L$2:$L$1311))</f>
        <v>104.345780959351</v>
      </c>
      <c r="D32" s="3" t="n">
        <f aca="false">C32-B32</f>
        <v>3.69698095935068</v>
      </c>
    </row>
    <row r="33" customFormat="false" ht="15" hidden="false" customHeight="true" outlineLevel="0" collapsed="false">
      <c r="A33" s="1" t="s">
        <v>35</v>
      </c>
      <c r="B33" s="1" t="n">
        <f aca="false">SUMPRODUCT((TRIM('B&amp;B апрель 2025'!$A$2:$A$1311)=A33)*N(+'B&amp;B апрель 2025'!$H$2:$H$1311))</f>
        <v>225.8499</v>
      </c>
      <c r="C33" s="3" t="n">
        <f aca="false">SUMPRODUCT((TRIM('B&amp;B апрель 2025'!$A$2:$A$1311)=A33)*N(+'B&amp;B апрель 2025'!$L$2:$L$1311))</f>
        <v>244.701510391857</v>
      </c>
      <c r="D33" s="3" t="n">
        <f aca="false">C33-B33</f>
        <v>18.8516103918568</v>
      </c>
    </row>
    <row r="34" customFormat="false" ht="15" hidden="false" customHeight="true" outlineLevel="0" collapsed="false">
      <c r="A34" s="1" t="s">
        <v>36</v>
      </c>
      <c r="B34" s="1" t="n">
        <f aca="false">SUMPRODUCT((TRIM('B&amp;B апрель 2025'!$A$2:$A$1311)=A34)*N(+'B&amp;B апрель 2025'!$H$2:$H$1311))</f>
        <v>464.3384</v>
      </c>
      <c r="C34" s="3" t="n">
        <f aca="false">SUMPRODUCT((TRIM('B&amp;B апрель 2025'!$A$2:$A$1311)=A34)*N(+'B&amp;B апрель 2025'!$L$2:$L$1311))</f>
        <v>498.354508908256</v>
      </c>
      <c r="D34" s="3" t="n">
        <f aca="false">C34-B34</f>
        <v>34.0161089082562</v>
      </c>
    </row>
    <row r="35" customFormat="false" ht="15" hidden="false" customHeight="true" outlineLevel="0" collapsed="false">
      <c r="A35" s="1" t="s">
        <v>37</v>
      </c>
      <c r="B35" s="1" t="n">
        <f aca="false">SUMPRODUCT((TRIM('B&amp;B апрель 2025'!$A$2:$A$1311)=A35)*N(+'B&amp;B апрель 2025'!$H$2:$H$1311))</f>
        <v>6.45</v>
      </c>
      <c r="C35" s="3" t="n">
        <f aca="false">SUMPRODUCT((TRIM('B&amp;B апрель 2025'!$A$2:$A$1311)=A35)*N(+'B&amp;B апрель 2025'!$L$2:$L$1311))</f>
        <v>8.5822633224669</v>
      </c>
      <c r="D35" s="3" t="n">
        <f aca="false">C35-B35</f>
        <v>2.1322633224669</v>
      </c>
    </row>
    <row r="36" customFormat="false" ht="15" hidden="false" customHeight="true" outlineLevel="0" collapsed="false">
      <c r="A36" s="1" t="s">
        <v>38</v>
      </c>
      <c r="B36" s="1" t="n">
        <f aca="false">SUMPRODUCT((TRIM('B&amp;B апрель 2025'!$A$2:$A$1311)=A36)*N(+'B&amp;B апрель 2025'!$H$2:$H$1311))</f>
        <v>25.7528</v>
      </c>
      <c r="C36" s="3" t="n">
        <f aca="false">SUMPRODUCT((TRIM('B&amp;B апрель 2025'!$A$2:$A$1311)=A36)*N(+'B&amp;B апрель 2025'!$L$2:$L$1311))</f>
        <v>25.7528</v>
      </c>
      <c r="D36" s="3" t="n">
        <f aca="false">C36-B36</f>
        <v>0</v>
      </c>
    </row>
    <row r="37" customFormat="false" ht="15" hidden="false" customHeight="true" outlineLevel="0" collapsed="false">
      <c r="A37" s="1" t="s">
        <v>39</v>
      </c>
      <c r="B37" s="1" t="n">
        <f aca="false">SUMPRODUCT((TRIM('B&amp;B апрель 2025'!$A$2:$A$1311)=A37)*N(+'B&amp;B апрель 2025'!$H$2:$H$1311))</f>
        <v>10.72</v>
      </c>
      <c r="C37" s="3" t="n">
        <f aca="false">SUMPRODUCT((TRIM('B&amp;B апрель 2025'!$A$2:$A$1311)=A37)*N(+'B&amp;B апрель 2025'!$L$2:$L$1311))</f>
        <v>10.72</v>
      </c>
      <c r="D37" s="3" t="n">
        <f aca="false">C37-B37</f>
        <v>0</v>
      </c>
    </row>
    <row r="38" customFormat="false" ht="15" hidden="false" customHeight="true" outlineLevel="0" collapsed="false">
      <c r="A38" s="1" t="s">
        <v>40</v>
      </c>
      <c r="B38" s="1" t="n">
        <f aca="false">SUMPRODUCT((TRIM('B&amp;B апрель 2025'!$A$2:$A$1311)=A38)*N(+'B&amp;B апрель 2025'!$H$2:$H$1311))</f>
        <v>309.075</v>
      </c>
      <c r="C38" s="3" t="n">
        <f aca="false">SUMPRODUCT((TRIM('B&amp;B апрель 2025'!$A$2:$A$1311)=A38)*N(+'B&amp;B апрель 2025'!$L$2:$L$1311))</f>
        <v>309.075</v>
      </c>
      <c r="D38" s="3" t="n">
        <f aca="false">C38-B38</f>
        <v>0</v>
      </c>
    </row>
    <row r="39" customFormat="false" ht="15" hidden="false" customHeight="true" outlineLevel="0" collapsed="false">
      <c r="A39" s="1" t="s">
        <v>41</v>
      </c>
      <c r="B39" s="1" t="n">
        <f aca="false">SUMPRODUCT((TRIM('B&amp;B апрель 2025'!$A$2:$A$1311)=A39)*N(+'B&amp;B апрель 2025'!$H$2:$H$1311))</f>
        <v>85.5</v>
      </c>
      <c r="C39" s="3" t="n">
        <f aca="false">SUMPRODUCT((TRIM('B&amp;B апрель 2025'!$A$2:$A$1311)=A39)*N(+'B&amp;B апрель 2025'!$L$2:$L$1311))</f>
        <v>85.5</v>
      </c>
      <c r="D39" s="3" t="n">
        <f aca="false">C39-B39</f>
        <v>0</v>
      </c>
    </row>
    <row r="40" customFormat="false" ht="15" hidden="false" customHeight="true" outlineLevel="0" collapsed="false">
      <c r="A40" s="1" t="s">
        <v>42</v>
      </c>
      <c r="B40" s="1" t="n">
        <f aca="false">SUMPRODUCT((TRIM('B&amp;B апрель 2025'!$A$2:$A$1311)=A40)*N(+'B&amp;B апрель 2025'!$H$2:$H$1311))</f>
        <v>200</v>
      </c>
      <c r="C40" s="3" t="n">
        <f aca="false">SUMPRODUCT((TRIM('B&amp;B апрель 2025'!$A$2:$A$1311)=A40)*N(+'B&amp;B апрель 2025'!$L$2:$L$1311))</f>
        <v>200</v>
      </c>
      <c r="D40" s="3" t="n">
        <f aca="false">C40-B40</f>
        <v>0</v>
      </c>
    </row>
    <row r="41" customFormat="false" ht="15" hidden="false" customHeight="true" outlineLevel="0" collapsed="false">
      <c r="A41" s="1" t="s">
        <v>43</v>
      </c>
      <c r="B41" s="1" t="n">
        <f aca="false">SUMPRODUCT((TRIM('B&amp;B апрель 2025'!$A$2:$A$1311)=A41)*N(+'B&amp;B апрель 2025'!$H$2:$H$1311))</f>
        <v>0</v>
      </c>
      <c r="C41" s="3" t="n">
        <f aca="false">SUMPRODUCT((TRIM('B&amp;B апрель 2025'!$A$2:$A$1311)=A41)*N(+'B&amp;B апрель 2025'!$L$2:$L$1311))</f>
        <v>0</v>
      </c>
      <c r="D41" s="3" t="n">
        <f aca="false">C41-B41</f>
        <v>0</v>
      </c>
    </row>
    <row r="42" customFormat="false" ht="15" hidden="false" customHeight="true" outlineLevel="0" collapsed="false">
      <c r="A42" s="4" t="s">
        <v>44</v>
      </c>
      <c r="B42" s="4" t="n">
        <f aca="false">SUM('B&amp;B апрель 2025'!$H$2:$H$1311)</f>
        <v>7533.902475</v>
      </c>
      <c r="C42" s="2" t="n">
        <f aca="false">SUM('B&amp;B апрель 2025'!$L$2:$L$1311)</f>
        <v>8026.81508301976</v>
      </c>
      <c r="D42" s="2" t="n">
        <f aca="false">C42-B42</f>
        <v>492.912608019759</v>
      </c>
    </row>
    <row r="44" customFormat="false" ht="15" hidden="false" customHeight="true" outlineLevel="0" collapsed="false">
      <c r="A44" s="4" t="s">
        <v>45</v>
      </c>
      <c r="B44" s="1" t="n">
        <f aca="false">Платежи!C17</f>
        <v>11465.88</v>
      </c>
      <c r="C44" s="3" t="n">
        <f aca="false">B44</f>
        <v>11465.88</v>
      </c>
    </row>
    <row r="45" customFormat="false" ht="15" hidden="false" customHeight="true" outlineLevel="0" collapsed="false">
      <c r="A45" s="4" t="s">
        <v>46</v>
      </c>
      <c r="B45" s="1" t="n">
        <f aca="false">B42-B44</f>
        <v>-3931.977525</v>
      </c>
      <c r="C45" s="3" t="n">
        <f aca="false">C42-C44</f>
        <v>-3439.06491698024</v>
      </c>
    </row>
    <row r="46" customFormat="false" ht="15" hidden="false" customHeight="true" outlineLevel="0" collapsed="false">
      <c r="A46" s="1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50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7" min="5" style="1" width="12"/>
    <col collapsed="false" customWidth="true" hidden="false" outlineLevel="0" max="8" min="8" style="1" width="30"/>
  </cols>
  <sheetData>
    <row r="1" customFormat="false" ht="15" hidden="false" customHeight="true" outlineLevel="0" collapsed="false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</row>
    <row r="2" customFormat="false" ht="15" hidden="false" customHeight="true" outlineLevel="0" collapsed="false">
      <c r="A2" s="1" t="s">
        <v>4</v>
      </c>
      <c r="B2" s="1" t="s">
        <v>56</v>
      </c>
      <c r="C2" s="1" t="n">
        <v>4.47</v>
      </c>
      <c r="D2" s="1" t="n">
        <v>4.47</v>
      </c>
      <c r="E2" s="1" t="n">
        <v>0</v>
      </c>
      <c r="F2" s="1" t="s">
        <v>57</v>
      </c>
      <c r="G2" s="1" t="s">
        <v>58</v>
      </c>
      <c r="H2" s="1" t="s">
        <v>59</v>
      </c>
    </row>
    <row r="3" customFormat="false" ht="15" hidden="false" customHeight="true" outlineLevel="0" collapsed="false">
      <c r="A3" s="1" t="s">
        <v>4</v>
      </c>
      <c r="B3" s="1" t="s">
        <v>60</v>
      </c>
      <c r="C3" s="1" t="n">
        <v>18.56</v>
      </c>
      <c r="D3" s="1" t="n">
        <v>18.56</v>
      </c>
      <c r="E3" s="1" t="n">
        <v>0</v>
      </c>
      <c r="F3" s="1" t="s">
        <v>57</v>
      </c>
      <c r="G3" s="1" t="s">
        <v>61</v>
      </c>
      <c r="H3" s="1" t="s">
        <v>62</v>
      </c>
    </row>
    <row r="4" customFormat="false" ht="15" hidden="false" customHeight="true" outlineLevel="0" collapsed="false">
      <c r="A4" s="1" t="s">
        <v>63</v>
      </c>
      <c r="B4" s="1" t="s">
        <v>56</v>
      </c>
      <c r="C4" s="1" t="n">
        <v>16.53</v>
      </c>
      <c r="D4" s="1" t="n">
        <v>16.53</v>
      </c>
      <c r="E4" s="1" t="n">
        <v>0</v>
      </c>
      <c r="F4" s="1" t="s">
        <v>57</v>
      </c>
      <c r="G4" s="1" t="s">
        <v>64</v>
      </c>
      <c r="H4" s="1" t="s">
        <v>65</v>
      </c>
    </row>
    <row r="5" customFormat="false" ht="15" hidden="false" customHeight="true" outlineLevel="0" collapsed="false">
      <c r="A5" s="1" t="s">
        <v>63</v>
      </c>
      <c r="B5" s="1" t="s">
        <v>60</v>
      </c>
      <c r="C5" s="1" t="n">
        <v>11</v>
      </c>
      <c r="D5" s="1" t="n">
        <v>11</v>
      </c>
      <c r="E5" s="1" t="n">
        <v>0</v>
      </c>
      <c r="F5" s="1" t="s">
        <v>57</v>
      </c>
      <c r="G5" s="1" t="s">
        <v>66</v>
      </c>
      <c r="H5" s="1" t="s">
        <v>67</v>
      </c>
    </row>
    <row r="6" customFormat="false" ht="15" hidden="false" customHeight="true" outlineLevel="0" collapsed="false">
      <c r="A6" s="1" t="s">
        <v>68</v>
      </c>
      <c r="B6" s="1" t="s">
        <v>69</v>
      </c>
      <c r="C6" s="1" t="n">
        <v>2.05</v>
      </c>
      <c r="D6" s="1" t="n">
        <v>2.05</v>
      </c>
      <c r="E6" s="1" t="n">
        <v>0</v>
      </c>
      <c r="F6" s="1" t="s">
        <v>57</v>
      </c>
      <c r="G6" s="1" t="s">
        <v>70</v>
      </c>
      <c r="H6" s="1" t="s">
        <v>71</v>
      </c>
    </row>
    <row r="7" customFormat="false" ht="15" hidden="false" customHeight="true" outlineLevel="0" collapsed="false">
      <c r="A7" s="1" t="s">
        <v>68</v>
      </c>
      <c r="B7" s="1" t="s">
        <v>56</v>
      </c>
      <c r="C7" s="1" t="n">
        <v>24.36</v>
      </c>
      <c r="D7" s="1" t="n">
        <v>24.36</v>
      </c>
      <c r="E7" s="1" t="n">
        <v>0</v>
      </c>
      <c r="F7" s="1" t="s">
        <v>57</v>
      </c>
      <c r="G7" s="1" t="s">
        <v>72</v>
      </c>
      <c r="H7" s="1" t="s">
        <v>73</v>
      </c>
    </row>
    <row r="8" customFormat="false" ht="15" hidden="false" customHeight="true" outlineLevel="0" collapsed="false">
      <c r="A8" s="1" t="s">
        <v>68</v>
      </c>
      <c r="B8" s="1" t="s">
        <v>60</v>
      </c>
      <c r="C8" s="1" t="n">
        <v>32.9</v>
      </c>
      <c r="D8" s="1" t="n">
        <v>32.9</v>
      </c>
      <c r="E8" s="1" t="n">
        <v>0</v>
      </c>
      <c r="F8" s="1" t="s">
        <v>57</v>
      </c>
      <c r="G8" s="1" t="s">
        <v>74</v>
      </c>
      <c r="H8" s="1" t="s">
        <v>75</v>
      </c>
    </row>
    <row r="9" customFormat="false" ht="15" hidden="false" customHeight="true" outlineLevel="0" collapsed="false">
      <c r="A9" s="1" t="s">
        <v>76</v>
      </c>
      <c r="B9" s="1" t="s">
        <v>77</v>
      </c>
      <c r="C9" s="1" t="n">
        <v>1.69</v>
      </c>
      <c r="D9" s="1" t="n">
        <v>1.69</v>
      </c>
      <c r="E9" s="1" t="n">
        <v>0</v>
      </c>
      <c r="F9" s="1" t="s">
        <v>57</v>
      </c>
      <c r="G9" s="1" t="s">
        <v>78</v>
      </c>
      <c r="H9" s="1" t="s">
        <v>79</v>
      </c>
    </row>
    <row r="10" customFormat="false" ht="15" hidden="false" customHeight="true" outlineLevel="0" collapsed="false">
      <c r="A10" s="1" t="s">
        <v>76</v>
      </c>
      <c r="B10" s="1" t="s">
        <v>56</v>
      </c>
      <c r="C10" s="1" t="n">
        <v>20.1</v>
      </c>
      <c r="D10" s="1" t="n">
        <v>20.1</v>
      </c>
      <c r="E10" s="1" t="n">
        <v>0</v>
      </c>
      <c r="F10" s="1" t="s">
        <v>57</v>
      </c>
      <c r="G10" s="1" t="s">
        <v>80</v>
      </c>
      <c r="H10" s="1" t="s">
        <v>81</v>
      </c>
    </row>
    <row r="11" customFormat="false" ht="15" hidden="false" customHeight="true" outlineLevel="0" collapsed="false">
      <c r="A11" s="5" t="s">
        <v>76</v>
      </c>
      <c r="B11" s="5" t="s">
        <v>60</v>
      </c>
      <c r="C11" s="5" t="n">
        <v>44.17</v>
      </c>
      <c r="D11" s="5" t="n">
        <v>46.7</v>
      </c>
      <c r="E11" s="5" t="n">
        <v>2.53</v>
      </c>
      <c r="F11" s="5" t="s">
        <v>82</v>
      </c>
      <c r="G11" s="5" t="s">
        <v>83</v>
      </c>
      <c r="H11" s="5" t="s">
        <v>84</v>
      </c>
    </row>
    <row r="12" customFormat="false" ht="15" hidden="false" customHeight="true" outlineLevel="0" collapsed="false">
      <c r="A12" s="1" t="s">
        <v>33</v>
      </c>
      <c r="B12" s="1" t="s">
        <v>56</v>
      </c>
      <c r="C12" s="1" t="n">
        <v>11.5</v>
      </c>
      <c r="D12" s="1" t="n">
        <v>11.5</v>
      </c>
      <c r="E12" s="1" t="n">
        <v>0</v>
      </c>
      <c r="F12" s="1" t="s">
        <v>57</v>
      </c>
      <c r="G12" s="1" t="s">
        <v>85</v>
      </c>
      <c r="H12" s="1" t="s">
        <v>86</v>
      </c>
    </row>
    <row r="13" customFormat="false" ht="15" hidden="false" customHeight="true" outlineLevel="0" collapsed="false">
      <c r="A13" s="5" t="s">
        <v>33</v>
      </c>
      <c r="B13" s="5" t="s">
        <v>60</v>
      </c>
      <c r="C13" s="5" t="n">
        <v>24.3</v>
      </c>
      <c r="D13" s="5" t="n">
        <v>0</v>
      </c>
      <c r="E13" s="5" t="n">
        <v>-24.3</v>
      </c>
      <c r="F13" s="5" t="s">
        <v>87</v>
      </c>
      <c r="G13" s="5" t="s">
        <v>88</v>
      </c>
      <c r="H13" s="5"/>
    </row>
    <row r="14" customFormat="false" ht="15" hidden="false" customHeight="true" outlineLevel="0" collapsed="false">
      <c r="A14" s="1" t="s">
        <v>89</v>
      </c>
      <c r="B14" s="1" t="s">
        <v>60</v>
      </c>
      <c r="C14" s="1" t="n">
        <v>62.13</v>
      </c>
      <c r="D14" s="1" t="n">
        <v>62.13</v>
      </c>
      <c r="E14" s="1" t="n">
        <v>0</v>
      </c>
      <c r="F14" s="1" t="s">
        <v>57</v>
      </c>
      <c r="G14" s="1" t="s">
        <v>90</v>
      </c>
      <c r="H14" s="1" t="s">
        <v>91</v>
      </c>
    </row>
    <row r="15" customFormat="false" ht="15" hidden="false" customHeight="true" outlineLevel="0" collapsed="false">
      <c r="A15" s="5" t="s">
        <v>7</v>
      </c>
      <c r="B15" s="5" t="s">
        <v>56</v>
      </c>
      <c r="C15" s="5" t="n">
        <v>0</v>
      </c>
      <c r="D15" s="5" t="n">
        <v>21.17</v>
      </c>
      <c r="E15" s="5" t="n">
        <v>21.17</v>
      </c>
      <c r="F15" s="5" t="s">
        <v>92</v>
      </c>
      <c r="G15" s="5"/>
      <c r="H15" s="5" t="s">
        <v>93</v>
      </c>
    </row>
    <row r="16" customFormat="false" ht="15" hidden="false" customHeight="true" outlineLevel="0" collapsed="false">
      <c r="A16" s="5" t="s">
        <v>7</v>
      </c>
      <c r="B16" s="5" t="s">
        <v>60</v>
      </c>
      <c r="C16" s="5" t="n">
        <v>0</v>
      </c>
      <c r="D16" s="5" t="n">
        <v>43.35</v>
      </c>
      <c r="E16" s="5" t="n">
        <v>43.35</v>
      </c>
      <c r="F16" s="5" t="s">
        <v>92</v>
      </c>
      <c r="G16" s="5"/>
      <c r="H16" s="5" t="s">
        <v>94</v>
      </c>
    </row>
    <row r="17" customFormat="false" ht="15" hidden="false" customHeight="true" outlineLevel="0" collapsed="false">
      <c r="A17" s="1" t="s">
        <v>32</v>
      </c>
      <c r="B17" s="1" t="s">
        <v>60</v>
      </c>
      <c r="C17" s="1" t="n">
        <v>9.2</v>
      </c>
      <c r="D17" s="1" t="n">
        <v>9.24</v>
      </c>
      <c r="E17" s="1" t="n">
        <v>0.04</v>
      </c>
      <c r="F17" s="1" t="s">
        <v>57</v>
      </c>
      <c r="G17" s="1" t="s">
        <v>95</v>
      </c>
      <c r="H17" s="1" t="s">
        <v>96</v>
      </c>
    </row>
    <row r="18" customFormat="false" ht="15" hidden="false" customHeight="true" outlineLevel="0" collapsed="false">
      <c r="A18" s="1" t="s">
        <v>34</v>
      </c>
      <c r="B18" s="1" t="s">
        <v>60</v>
      </c>
      <c r="C18" s="1" t="n">
        <v>22.37</v>
      </c>
      <c r="D18" s="1" t="n">
        <v>22.37</v>
      </c>
      <c r="E18" s="1" t="n">
        <v>0</v>
      </c>
      <c r="F18" s="1" t="s">
        <v>57</v>
      </c>
      <c r="G18" s="1" t="s">
        <v>97</v>
      </c>
      <c r="H18" s="1" t="s">
        <v>98</v>
      </c>
    </row>
    <row r="19" customFormat="false" ht="15" hidden="false" customHeight="true" outlineLevel="0" collapsed="false">
      <c r="A19" s="1" t="s">
        <v>12</v>
      </c>
      <c r="B19" s="1" t="s">
        <v>56</v>
      </c>
      <c r="C19" s="1" t="n">
        <v>1.3</v>
      </c>
      <c r="D19" s="1" t="n">
        <v>1.3</v>
      </c>
      <c r="E19" s="1" t="n">
        <v>0</v>
      </c>
      <c r="F19" s="1" t="s">
        <v>57</v>
      </c>
      <c r="G19" s="1" t="s">
        <v>99</v>
      </c>
      <c r="H19" s="1" t="s">
        <v>100</v>
      </c>
    </row>
    <row r="20" customFormat="false" ht="15" hidden="false" customHeight="true" outlineLevel="0" collapsed="false">
      <c r="A20" s="5" t="s">
        <v>12</v>
      </c>
      <c r="B20" s="5" t="s">
        <v>60</v>
      </c>
      <c r="C20" s="5" t="n">
        <v>19.38</v>
      </c>
      <c r="D20" s="5" t="n">
        <v>9.69</v>
      </c>
      <c r="E20" s="5" t="n">
        <v>-9.69</v>
      </c>
      <c r="F20" s="5" t="s">
        <v>82</v>
      </c>
      <c r="G20" s="5" t="s">
        <v>101</v>
      </c>
      <c r="H20" s="5" t="s">
        <v>102</v>
      </c>
    </row>
    <row r="21" customFormat="false" ht="15" hidden="false" customHeight="true" outlineLevel="0" collapsed="false">
      <c r="A21" s="1" t="s">
        <v>16</v>
      </c>
      <c r="B21" s="1" t="s">
        <v>60</v>
      </c>
      <c r="C21" s="1" t="n">
        <v>17.57</v>
      </c>
      <c r="D21" s="1" t="n">
        <v>17.57</v>
      </c>
      <c r="E21" s="1" t="n">
        <v>0</v>
      </c>
      <c r="F21" s="1" t="s">
        <v>57</v>
      </c>
      <c r="G21" s="1" t="s">
        <v>103</v>
      </c>
      <c r="H21" s="1" t="s">
        <v>104</v>
      </c>
    </row>
    <row r="22" customFormat="false" ht="15" hidden="false" customHeight="true" outlineLevel="0" collapsed="false">
      <c r="A22" s="1" t="s">
        <v>17</v>
      </c>
      <c r="B22" s="1" t="s">
        <v>56</v>
      </c>
      <c r="C22" s="1" t="n">
        <v>1.18</v>
      </c>
      <c r="D22" s="1" t="n">
        <v>1.18</v>
      </c>
      <c r="E22" s="1" t="n">
        <v>0</v>
      </c>
      <c r="F22" s="1" t="s">
        <v>57</v>
      </c>
      <c r="G22" s="1" t="s">
        <v>105</v>
      </c>
      <c r="H22" s="1" t="s">
        <v>106</v>
      </c>
    </row>
    <row r="23" customFormat="false" ht="15" hidden="false" customHeight="true" outlineLevel="0" collapsed="false">
      <c r="A23" s="5" t="s">
        <v>17</v>
      </c>
      <c r="B23" s="5" t="s">
        <v>60</v>
      </c>
      <c r="C23" s="5" t="n">
        <v>6.45</v>
      </c>
      <c r="D23" s="5" t="n">
        <v>6.86</v>
      </c>
      <c r="E23" s="5" t="n">
        <v>0.41</v>
      </c>
      <c r="F23" s="5" t="s">
        <v>82</v>
      </c>
      <c r="G23" s="5" t="s">
        <v>107</v>
      </c>
      <c r="H23" s="5" t="s">
        <v>108</v>
      </c>
    </row>
    <row r="24" customFormat="false" ht="15" hidden="false" customHeight="true" outlineLevel="0" collapsed="false">
      <c r="A24" s="5" t="s">
        <v>109</v>
      </c>
      <c r="B24" s="5" t="s">
        <v>77</v>
      </c>
      <c r="C24" s="5" t="n">
        <v>0</v>
      </c>
      <c r="D24" s="5" t="n">
        <v>5.78</v>
      </c>
      <c r="E24" s="5" t="n">
        <v>5.78</v>
      </c>
      <c r="F24" s="5" t="s">
        <v>92</v>
      </c>
      <c r="G24" s="5"/>
      <c r="H24" s="5" t="s">
        <v>110</v>
      </c>
    </row>
    <row r="25" customFormat="false" ht="15" hidden="false" customHeight="true" outlineLevel="0" collapsed="false">
      <c r="A25" s="5" t="s">
        <v>109</v>
      </c>
      <c r="B25" s="5" t="s">
        <v>56</v>
      </c>
      <c r="C25" s="5" t="n">
        <v>13.66</v>
      </c>
      <c r="D25" s="5" t="n">
        <v>0</v>
      </c>
      <c r="E25" s="5" t="n">
        <v>-13.66</v>
      </c>
      <c r="F25" s="5" t="s">
        <v>87</v>
      </c>
      <c r="G25" s="5" t="s">
        <v>111</v>
      </c>
      <c r="H25" s="5"/>
    </row>
    <row r="26" customFormat="false" ht="15" hidden="false" customHeight="true" outlineLevel="0" collapsed="false">
      <c r="A26" s="1" t="s">
        <v>109</v>
      </c>
      <c r="B26" s="1" t="s">
        <v>60</v>
      </c>
      <c r="C26" s="1" t="n">
        <v>12.9</v>
      </c>
      <c r="D26" s="1" t="n">
        <v>12.88</v>
      </c>
      <c r="E26" s="1" t="n">
        <v>-0.02</v>
      </c>
      <c r="F26" s="1" t="s">
        <v>57</v>
      </c>
      <c r="G26" s="1" t="s">
        <v>112</v>
      </c>
      <c r="H26" s="1" t="s">
        <v>113</v>
      </c>
    </row>
    <row r="27" customFormat="false" ht="15" hidden="false" customHeight="true" outlineLevel="0" collapsed="false">
      <c r="A27" s="1" t="s">
        <v>29</v>
      </c>
      <c r="B27" s="1" t="s">
        <v>56</v>
      </c>
      <c r="C27" s="1" t="n">
        <v>3.1</v>
      </c>
      <c r="D27" s="1" t="n">
        <v>3.06</v>
      </c>
      <c r="E27" s="1" t="n">
        <v>-0.04</v>
      </c>
      <c r="F27" s="1" t="s">
        <v>57</v>
      </c>
      <c r="G27" s="1" t="s">
        <v>114</v>
      </c>
      <c r="H27" s="1" t="s">
        <v>115</v>
      </c>
    </row>
    <row r="28" customFormat="false" ht="15" hidden="false" customHeight="true" outlineLevel="0" collapsed="false">
      <c r="A28" s="1" t="s">
        <v>29</v>
      </c>
      <c r="B28" s="1" t="s">
        <v>60</v>
      </c>
      <c r="C28" s="1" t="n">
        <v>10.8</v>
      </c>
      <c r="D28" s="1" t="n">
        <v>10.79</v>
      </c>
      <c r="E28" s="1" t="n">
        <v>-0.01</v>
      </c>
      <c r="F28" s="1" t="s">
        <v>57</v>
      </c>
      <c r="G28" s="1" t="s">
        <v>116</v>
      </c>
      <c r="H28" s="1" t="s">
        <v>117</v>
      </c>
    </row>
    <row r="29" customFormat="false" ht="15" hidden="false" customHeight="true" outlineLevel="0" collapsed="false">
      <c r="A29" s="1" t="s">
        <v>118</v>
      </c>
      <c r="B29" s="1" t="s">
        <v>69</v>
      </c>
      <c r="C29" s="1" t="n">
        <v>1.5</v>
      </c>
      <c r="D29" s="1" t="n">
        <v>1.5</v>
      </c>
      <c r="E29" s="1" t="n">
        <v>0</v>
      </c>
      <c r="F29" s="1" t="s">
        <v>57</v>
      </c>
      <c r="G29" s="1" t="s">
        <v>119</v>
      </c>
      <c r="H29" s="1" t="s">
        <v>120</v>
      </c>
    </row>
    <row r="30" customFormat="false" ht="15" hidden="false" customHeight="true" outlineLevel="0" collapsed="false">
      <c r="A30" s="1" t="s">
        <v>118</v>
      </c>
      <c r="B30" s="1" t="s">
        <v>60</v>
      </c>
      <c r="C30" s="1" t="n">
        <v>29.4</v>
      </c>
      <c r="D30" s="1" t="n">
        <v>29.41</v>
      </c>
      <c r="E30" s="1" t="n">
        <v>0.01</v>
      </c>
      <c r="F30" s="1" t="s">
        <v>57</v>
      </c>
      <c r="G30" s="1" t="s">
        <v>121</v>
      </c>
      <c r="H30" s="1" t="s">
        <v>122</v>
      </c>
    </row>
    <row r="31" customFormat="false" ht="15" hidden="false" customHeight="true" outlineLevel="0" collapsed="false">
      <c r="A31" s="1" t="s">
        <v>11</v>
      </c>
      <c r="B31" s="1" t="s">
        <v>56</v>
      </c>
      <c r="C31" s="1" t="n">
        <v>9.05</v>
      </c>
      <c r="D31" s="1" t="n">
        <v>9.05</v>
      </c>
      <c r="E31" s="1" t="n">
        <v>0</v>
      </c>
      <c r="F31" s="1" t="s">
        <v>57</v>
      </c>
      <c r="G31" s="1" t="s">
        <v>123</v>
      </c>
      <c r="H31" s="1" t="s">
        <v>124</v>
      </c>
    </row>
    <row r="32" customFormat="false" ht="15" hidden="false" customHeight="true" outlineLevel="0" collapsed="false">
      <c r="A32" s="1" t="s">
        <v>11</v>
      </c>
      <c r="B32" s="1" t="s">
        <v>60</v>
      </c>
      <c r="C32" s="1" t="n">
        <v>17.56</v>
      </c>
      <c r="D32" s="1" t="n">
        <v>17.56</v>
      </c>
      <c r="E32" s="1" t="n">
        <v>0</v>
      </c>
      <c r="F32" s="1" t="s">
        <v>57</v>
      </c>
      <c r="G32" s="1" t="s">
        <v>125</v>
      </c>
      <c r="H32" s="1" t="s">
        <v>126</v>
      </c>
    </row>
    <row r="33" customFormat="false" ht="15" hidden="false" customHeight="true" outlineLevel="0" collapsed="false">
      <c r="A33" s="1" t="s">
        <v>30</v>
      </c>
      <c r="B33" s="1" t="s">
        <v>56</v>
      </c>
      <c r="C33" s="1" t="n">
        <v>1.49</v>
      </c>
      <c r="D33" s="1" t="n">
        <v>1.49</v>
      </c>
      <c r="E33" s="1" t="n">
        <v>0</v>
      </c>
      <c r="F33" s="1" t="s">
        <v>57</v>
      </c>
      <c r="G33" s="1" t="s">
        <v>127</v>
      </c>
      <c r="H33" s="1" t="s">
        <v>128</v>
      </c>
    </row>
    <row r="34" customFormat="false" ht="15" hidden="false" customHeight="true" outlineLevel="0" collapsed="false">
      <c r="A34" s="1" t="s">
        <v>30</v>
      </c>
      <c r="B34" s="1" t="s">
        <v>60</v>
      </c>
      <c r="C34" s="1" t="n">
        <v>5.04</v>
      </c>
      <c r="D34" s="1" t="n">
        <v>5.04</v>
      </c>
      <c r="E34" s="1" t="n">
        <v>0</v>
      </c>
      <c r="F34" s="1" t="s">
        <v>57</v>
      </c>
      <c r="G34" s="1" t="s">
        <v>129</v>
      </c>
      <c r="H34" s="1" t="s">
        <v>130</v>
      </c>
    </row>
    <row r="35" customFormat="false" ht="15" hidden="false" customHeight="true" outlineLevel="0" collapsed="false">
      <c r="A35" s="1" t="s">
        <v>35</v>
      </c>
      <c r="B35" s="1" t="s">
        <v>69</v>
      </c>
      <c r="C35" s="1" t="n">
        <v>21.9</v>
      </c>
      <c r="D35" s="1" t="n">
        <v>21.85</v>
      </c>
      <c r="E35" s="1" t="n">
        <v>-0.05</v>
      </c>
      <c r="F35" s="1" t="s">
        <v>57</v>
      </c>
      <c r="G35" s="1" t="s">
        <v>131</v>
      </c>
      <c r="H35" s="1" t="s">
        <v>132</v>
      </c>
    </row>
    <row r="36" customFormat="false" ht="15" hidden="false" customHeight="true" outlineLevel="0" collapsed="false">
      <c r="A36" s="1" t="s">
        <v>35</v>
      </c>
      <c r="B36" s="1" t="s">
        <v>56</v>
      </c>
      <c r="C36" s="1" t="n">
        <v>5.1</v>
      </c>
      <c r="D36" s="1" t="n">
        <v>5.12</v>
      </c>
      <c r="E36" s="1" t="n">
        <v>0.02</v>
      </c>
      <c r="F36" s="1" t="s">
        <v>57</v>
      </c>
      <c r="G36" s="1" t="s">
        <v>133</v>
      </c>
      <c r="H36" s="1" t="s">
        <v>134</v>
      </c>
    </row>
    <row r="37" customFormat="false" ht="15" hidden="false" customHeight="true" outlineLevel="0" collapsed="false">
      <c r="A37" s="1" t="s">
        <v>9</v>
      </c>
      <c r="B37" s="1" t="s">
        <v>77</v>
      </c>
      <c r="C37" s="1" t="n">
        <v>1.19</v>
      </c>
      <c r="D37" s="1" t="n">
        <v>1.19</v>
      </c>
      <c r="E37" s="1" t="n">
        <v>0</v>
      </c>
      <c r="F37" s="1" t="s">
        <v>57</v>
      </c>
      <c r="G37" s="1" t="s">
        <v>135</v>
      </c>
      <c r="H37" s="1" t="s">
        <v>136</v>
      </c>
    </row>
    <row r="38" customFormat="false" ht="15" hidden="false" customHeight="true" outlineLevel="0" collapsed="false">
      <c r="A38" s="1" t="s">
        <v>9</v>
      </c>
      <c r="B38" s="1" t="s">
        <v>56</v>
      </c>
      <c r="C38" s="1" t="n">
        <v>16.06</v>
      </c>
      <c r="D38" s="1" t="n">
        <v>16.06</v>
      </c>
      <c r="E38" s="1" t="n">
        <v>0</v>
      </c>
      <c r="F38" s="1" t="s">
        <v>57</v>
      </c>
      <c r="G38" s="1" t="s">
        <v>137</v>
      </c>
      <c r="H38" s="1" t="s">
        <v>138</v>
      </c>
    </row>
    <row r="39" customFormat="false" ht="15" hidden="false" customHeight="true" outlineLevel="0" collapsed="false">
      <c r="A39" s="1" t="s">
        <v>9</v>
      </c>
      <c r="B39" s="1" t="s">
        <v>60</v>
      </c>
      <c r="C39" s="1" t="n">
        <v>27.64</v>
      </c>
      <c r="D39" s="1" t="n">
        <v>27.64</v>
      </c>
      <c r="E39" s="1" t="n">
        <v>0</v>
      </c>
      <c r="F39" s="1" t="s">
        <v>57</v>
      </c>
      <c r="G39" s="1" t="s">
        <v>139</v>
      </c>
      <c r="H39" s="1" t="s">
        <v>140</v>
      </c>
    </row>
    <row r="40" customFormat="false" ht="15" hidden="false" customHeight="true" outlineLevel="0" collapsed="false">
      <c r="A40" s="1" t="s">
        <v>141</v>
      </c>
      <c r="B40" s="1" t="s">
        <v>69</v>
      </c>
      <c r="C40" s="1" t="n">
        <v>1.8</v>
      </c>
      <c r="D40" s="1" t="n">
        <v>1.8</v>
      </c>
      <c r="E40" s="1" t="n">
        <v>0</v>
      </c>
      <c r="F40" s="1" t="s">
        <v>57</v>
      </c>
      <c r="G40" s="1" t="s">
        <v>142</v>
      </c>
      <c r="H40" s="1" t="s">
        <v>143</v>
      </c>
    </row>
    <row r="41" customFormat="false" ht="15" hidden="false" customHeight="true" outlineLevel="0" collapsed="false">
      <c r="A41" s="1" t="s">
        <v>141</v>
      </c>
      <c r="B41" s="1" t="s">
        <v>56</v>
      </c>
      <c r="C41" s="1" t="n">
        <v>8.9</v>
      </c>
      <c r="D41" s="1" t="n">
        <v>8.94</v>
      </c>
      <c r="E41" s="1" t="n">
        <v>0.04</v>
      </c>
      <c r="F41" s="1" t="s">
        <v>57</v>
      </c>
      <c r="G41" s="1" t="s">
        <v>144</v>
      </c>
      <c r="H41" s="1" t="s">
        <v>145</v>
      </c>
    </row>
    <row r="42" customFormat="false" ht="15" hidden="false" customHeight="true" outlineLevel="0" collapsed="false">
      <c r="A42" s="1" t="s">
        <v>141</v>
      </c>
      <c r="B42" s="1" t="s">
        <v>60</v>
      </c>
      <c r="C42" s="1" t="n">
        <v>19.8</v>
      </c>
      <c r="D42" s="1" t="n">
        <v>19.76</v>
      </c>
      <c r="E42" s="1" t="n">
        <v>-0.04</v>
      </c>
      <c r="F42" s="1" t="s">
        <v>57</v>
      </c>
      <c r="G42" s="1" t="s">
        <v>146</v>
      </c>
      <c r="H42" s="1" t="s">
        <v>147</v>
      </c>
    </row>
    <row r="44" customFormat="false" ht="15" hidden="false" customHeight="true" outlineLevel="0" collapsed="false">
      <c r="A44" s="1" t="s">
        <v>148</v>
      </c>
    </row>
    <row r="45" customFormat="false" ht="15" hidden="false" customHeight="true" outlineLevel="0" collapsed="false">
      <c r="A45" s="1" t="s">
        <v>48</v>
      </c>
      <c r="B45" s="1" t="s">
        <v>149</v>
      </c>
      <c r="C45" s="1" t="s">
        <v>150</v>
      </c>
      <c r="D45" s="1" t="s">
        <v>151</v>
      </c>
      <c r="E45" s="1" t="s">
        <v>152</v>
      </c>
      <c r="F45" s="1" t="s">
        <v>153</v>
      </c>
      <c r="G45" s="1" t="s">
        <v>154</v>
      </c>
      <c r="H45" s="1" t="s">
        <v>155</v>
      </c>
    </row>
    <row r="46" customFormat="false" ht="15" hidden="false" customHeight="true" outlineLevel="0" collapsed="false">
      <c r="A46" s="1" t="s">
        <v>4</v>
      </c>
      <c r="B46" s="1" t="s">
        <v>156</v>
      </c>
      <c r="C46" s="1" t="s">
        <v>157</v>
      </c>
      <c r="D46" s="1" t="n">
        <v>3.14</v>
      </c>
      <c r="E46" s="1" t="n">
        <v>4</v>
      </c>
      <c r="F46" s="1" t="n">
        <v>1</v>
      </c>
      <c r="G46" s="1" t="n">
        <v>12.55</v>
      </c>
      <c r="H46" s="1" t="s">
        <v>158</v>
      </c>
    </row>
    <row r="47" customFormat="false" ht="15" hidden="false" customHeight="true" outlineLevel="0" collapsed="false">
      <c r="A47" s="1" t="s">
        <v>4</v>
      </c>
      <c r="B47" s="1" t="s">
        <v>159</v>
      </c>
      <c r="C47" s="1" t="s">
        <v>157</v>
      </c>
      <c r="D47" s="1" t="n">
        <v>5.05</v>
      </c>
      <c r="E47" s="1" t="n">
        <v>8</v>
      </c>
      <c r="F47" s="1" t="n">
        <v>1</v>
      </c>
      <c r="G47" s="1" t="n">
        <v>40.42</v>
      </c>
      <c r="H47" s="1" t="s">
        <v>160</v>
      </c>
    </row>
    <row r="48" customFormat="false" ht="15" hidden="false" customHeight="true" outlineLevel="0" collapsed="false">
      <c r="A48" s="1" t="s">
        <v>4</v>
      </c>
      <c r="B48" s="1" t="s">
        <v>161</v>
      </c>
      <c r="C48" s="1" t="s">
        <v>157</v>
      </c>
      <c r="D48" s="1" t="n">
        <v>4.47</v>
      </c>
      <c r="E48" s="1" t="n">
        <v>9</v>
      </c>
      <c r="F48" s="1" t="n">
        <v>1</v>
      </c>
      <c r="G48" s="1" t="n">
        <v>40.25</v>
      </c>
      <c r="H48" s="1" t="s">
        <v>162</v>
      </c>
    </row>
    <row r="49" customFormat="false" ht="15" hidden="false" customHeight="true" outlineLevel="0" collapsed="false">
      <c r="A49" s="1" t="s">
        <v>4</v>
      </c>
      <c r="B49" s="1" t="s">
        <v>163</v>
      </c>
      <c r="C49" s="1" t="s">
        <v>164</v>
      </c>
      <c r="D49" s="1" t="n">
        <v>28.3</v>
      </c>
      <c r="E49" s="1" t="n">
        <v>2</v>
      </c>
      <c r="F49" s="1" t="n">
        <v>1</v>
      </c>
      <c r="G49" s="1" t="n">
        <v>56.6</v>
      </c>
      <c r="H49" s="1" t="s">
        <v>165</v>
      </c>
    </row>
    <row r="50" customFormat="false" ht="15" hidden="false" customHeight="true" outlineLevel="0" collapsed="false">
      <c r="A50" s="1" t="s">
        <v>4</v>
      </c>
      <c r="B50" s="1" t="s">
        <v>166</v>
      </c>
      <c r="C50" s="1" t="s">
        <v>164</v>
      </c>
      <c r="D50" s="1" t="n">
        <v>12.1</v>
      </c>
      <c r="E50" s="1" t="n">
        <v>4</v>
      </c>
      <c r="F50" s="1" t="n">
        <v>1</v>
      </c>
      <c r="G50" s="1" t="n">
        <v>48.4</v>
      </c>
      <c r="H50" s="1" t="s">
        <v>167</v>
      </c>
    </row>
    <row r="51" customFormat="false" ht="15" hidden="false" customHeight="true" outlineLevel="0" collapsed="false">
      <c r="A51" s="1" t="s">
        <v>4</v>
      </c>
      <c r="B51" s="1" t="s">
        <v>168</v>
      </c>
      <c r="C51" s="1" t="s">
        <v>164</v>
      </c>
      <c r="D51" s="1" t="n">
        <v>17.5</v>
      </c>
      <c r="E51" s="1" t="n">
        <v>3</v>
      </c>
      <c r="F51" s="1" t="n">
        <v>1</v>
      </c>
      <c r="G51" s="1" t="n">
        <v>52.5</v>
      </c>
      <c r="H51" s="1" t="s">
        <v>169</v>
      </c>
    </row>
    <row r="52" customFormat="false" ht="15" hidden="false" customHeight="true" outlineLevel="0" collapsed="false">
      <c r="A52" s="1" t="s">
        <v>4</v>
      </c>
      <c r="B52" s="1" t="s">
        <v>170</v>
      </c>
      <c r="C52" s="1" t="s">
        <v>164</v>
      </c>
      <c r="D52" s="1" t="n">
        <v>9.48</v>
      </c>
      <c r="E52" s="1" t="n">
        <v>2.5</v>
      </c>
      <c r="F52" s="1" t="n">
        <v>1</v>
      </c>
      <c r="G52" s="1" t="n">
        <v>23.7</v>
      </c>
      <c r="H52" s="1" t="s">
        <v>171</v>
      </c>
    </row>
    <row r="53" customFormat="false" ht="15" hidden="false" customHeight="true" outlineLevel="0" collapsed="false">
      <c r="A53" s="1" t="s">
        <v>4</v>
      </c>
      <c r="B53" s="1" t="s">
        <v>172</v>
      </c>
      <c r="C53" s="1" t="s">
        <v>157</v>
      </c>
      <c r="D53" s="1" t="n">
        <v>23.03</v>
      </c>
      <c r="E53" s="1" t="n">
        <v>0.5</v>
      </c>
      <c r="F53" s="1" t="n">
        <v>1</v>
      </c>
      <c r="G53" s="1" t="n">
        <v>11.51</v>
      </c>
      <c r="H53" s="1" t="s">
        <v>173</v>
      </c>
    </row>
    <row r="54" customFormat="false" ht="15" hidden="false" customHeight="true" outlineLevel="0" collapsed="false">
      <c r="A54" s="1" t="s">
        <v>4</v>
      </c>
      <c r="B54" s="1" t="s">
        <v>174</v>
      </c>
      <c r="C54" s="1" t="s">
        <v>157</v>
      </c>
      <c r="D54" s="1" t="n">
        <v>18.56</v>
      </c>
      <c r="E54" s="1" t="n">
        <v>1</v>
      </c>
      <c r="F54" s="1" t="n">
        <v>2</v>
      </c>
      <c r="G54" s="1" t="n">
        <v>37.11</v>
      </c>
      <c r="H54" s="1" t="s">
        <v>62</v>
      </c>
    </row>
    <row r="55" customFormat="false" ht="15" hidden="false" customHeight="true" outlineLevel="0" collapsed="false">
      <c r="A55" s="1" t="s">
        <v>4</v>
      </c>
      <c r="B55" s="1" t="s">
        <v>175</v>
      </c>
      <c r="C55" s="1" t="s">
        <v>157</v>
      </c>
      <c r="D55" s="1" t="n">
        <v>4.47</v>
      </c>
      <c r="E55" s="1" t="n">
        <v>1.5</v>
      </c>
      <c r="F55" s="1" t="n">
        <v>2</v>
      </c>
      <c r="G55" s="1" t="n">
        <v>13.42</v>
      </c>
      <c r="H55" s="1" t="s">
        <v>59</v>
      </c>
    </row>
    <row r="56" customFormat="false" ht="15" hidden="false" customHeight="true" outlineLevel="0" collapsed="false">
      <c r="A56" s="1" t="s">
        <v>4</v>
      </c>
      <c r="B56" s="1" t="s">
        <v>176</v>
      </c>
      <c r="C56" s="1" t="s">
        <v>157</v>
      </c>
      <c r="D56" s="1" t="n">
        <v>0.41</v>
      </c>
      <c r="E56" s="1" t="n">
        <v>15</v>
      </c>
      <c r="F56" s="1" t="n">
        <v>1</v>
      </c>
      <c r="G56" s="1" t="n">
        <v>6.18</v>
      </c>
      <c r="H56" s="1" t="s">
        <v>177</v>
      </c>
    </row>
    <row r="57" customFormat="false" ht="15" hidden="false" customHeight="true" outlineLevel="0" collapsed="false">
      <c r="A57" s="1" t="s">
        <v>6</v>
      </c>
      <c r="B57" s="1" t="s">
        <v>178</v>
      </c>
      <c r="C57" s="1" t="s">
        <v>179</v>
      </c>
      <c r="D57" s="1" t="n">
        <v>1</v>
      </c>
      <c r="E57" s="1" t="n">
        <v>15</v>
      </c>
      <c r="F57" s="1" t="n">
        <v>1</v>
      </c>
      <c r="G57" s="1" t="n">
        <v>15</v>
      </c>
      <c r="H57" s="1" t="s">
        <v>180</v>
      </c>
    </row>
    <row r="58" customFormat="false" ht="15" hidden="false" customHeight="true" outlineLevel="0" collapsed="false">
      <c r="A58" s="1" t="s">
        <v>6</v>
      </c>
      <c r="B58" s="1" t="s">
        <v>168</v>
      </c>
      <c r="C58" s="1" t="s">
        <v>157</v>
      </c>
      <c r="D58" s="1" t="n">
        <v>11</v>
      </c>
      <c r="E58" s="1" t="n">
        <v>3</v>
      </c>
      <c r="F58" s="1" t="n">
        <v>1</v>
      </c>
      <c r="G58" s="1" t="n">
        <v>33</v>
      </c>
      <c r="H58" s="1" t="s">
        <v>181</v>
      </c>
    </row>
    <row r="59" customFormat="false" ht="15" hidden="false" customHeight="true" outlineLevel="0" collapsed="false">
      <c r="A59" s="1" t="s">
        <v>6</v>
      </c>
      <c r="B59" s="1" t="s">
        <v>172</v>
      </c>
      <c r="C59" s="1" t="s">
        <v>157</v>
      </c>
      <c r="D59" s="1" t="n">
        <v>11</v>
      </c>
      <c r="E59" s="1" t="n">
        <v>0.5</v>
      </c>
      <c r="F59" s="1" t="n">
        <v>1</v>
      </c>
      <c r="G59" s="1" t="n">
        <v>5.5</v>
      </c>
      <c r="H59" s="1" t="s">
        <v>66</v>
      </c>
    </row>
    <row r="60" customFormat="false" ht="15" hidden="false" customHeight="true" outlineLevel="0" collapsed="false">
      <c r="A60" s="1" t="s">
        <v>6</v>
      </c>
      <c r="B60" s="1" t="s">
        <v>174</v>
      </c>
      <c r="C60" s="1" t="s">
        <v>157</v>
      </c>
      <c r="D60" s="1" t="n">
        <v>11</v>
      </c>
      <c r="E60" s="1" t="n">
        <v>1</v>
      </c>
      <c r="F60" s="1" t="n">
        <v>2</v>
      </c>
      <c r="G60" s="1" t="n">
        <v>22</v>
      </c>
      <c r="H60" s="1" t="s">
        <v>67</v>
      </c>
    </row>
    <row r="61" customFormat="false" ht="15" hidden="false" customHeight="true" outlineLevel="0" collapsed="false">
      <c r="A61" s="1" t="s">
        <v>6</v>
      </c>
      <c r="B61" s="1" t="s">
        <v>182</v>
      </c>
      <c r="C61" s="1" t="s">
        <v>164</v>
      </c>
      <c r="D61" s="1" t="n">
        <v>16.46</v>
      </c>
      <c r="E61" s="1" t="n">
        <v>3</v>
      </c>
      <c r="F61" s="1" t="n">
        <v>1</v>
      </c>
      <c r="G61" s="1" t="n">
        <v>49.38</v>
      </c>
      <c r="H61" s="1" t="s">
        <v>183</v>
      </c>
    </row>
    <row r="62" customFormat="false" ht="15" hidden="false" customHeight="true" outlineLevel="0" collapsed="false">
      <c r="A62" s="1" t="s">
        <v>6</v>
      </c>
      <c r="B62" s="1" t="s">
        <v>175</v>
      </c>
      <c r="C62" s="1" t="s">
        <v>164</v>
      </c>
      <c r="D62" s="1" t="n">
        <v>16.46</v>
      </c>
      <c r="E62" s="1" t="n">
        <v>1.5</v>
      </c>
      <c r="F62" s="1" t="n">
        <v>2</v>
      </c>
      <c r="G62" s="1" t="n">
        <v>49.38</v>
      </c>
      <c r="H62" s="1" t="s">
        <v>184</v>
      </c>
    </row>
    <row r="63" customFormat="false" ht="15" hidden="false" customHeight="true" outlineLevel="0" collapsed="false">
      <c r="A63" s="1" t="s">
        <v>6</v>
      </c>
      <c r="B63" s="1" t="s">
        <v>166</v>
      </c>
      <c r="C63" s="1" t="s">
        <v>157</v>
      </c>
      <c r="D63" s="1" t="n">
        <v>1</v>
      </c>
      <c r="E63" s="1" t="n">
        <v>4</v>
      </c>
      <c r="F63" s="1" t="n">
        <v>1</v>
      </c>
      <c r="G63" s="1" t="n">
        <v>4</v>
      </c>
      <c r="H63" s="1" t="s">
        <v>185</v>
      </c>
    </row>
    <row r="64" customFormat="false" ht="15" hidden="false" customHeight="true" outlineLevel="0" collapsed="false">
      <c r="A64" s="1" t="s">
        <v>6</v>
      </c>
      <c r="B64" s="1" t="s">
        <v>166</v>
      </c>
      <c r="C64" s="1" t="s">
        <v>179</v>
      </c>
      <c r="D64" s="1" t="n">
        <v>1</v>
      </c>
      <c r="E64" s="1" t="n">
        <v>4</v>
      </c>
      <c r="F64" s="1" t="n">
        <v>1</v>
      </c>
      <c r="G64" s="1" t="n">
        <v>4</v>
      </c>
      <c r="H64" s="1" t="s">
        <v>186</v>
      </c>
    </row>
    <row r="65" customFormat="false" ht="15" hidden="false" customHeight="true" outlineLevel="0" collapsed="false">
      <c r="A65" s="1" t="s">
        <v>6</v>
      </c>
      <c r="B65" s="1" t="s">
        <v>187</v>
      </c>
      <c r="C65" s="1" t="s">
        <v>157</v>
      </c>
      <c r="D65" s="1" t="n">
        <v>16.53</v>
      </c>
      <c r="E65" s="1" t="n">
        <v>0.5</v>
      </c>
      <c r="F65" s="1" t="n">
        <v>1</v>
      </c>
      <c r="G65" s="1" t="n">
        <v>8.27</v>
      </c>
      <c r="H65" s="1" t="s">
        <v>64</v>
      </c>
    </row>
    <row r="66" customFormat="false" ht="15" hidden="false" customHeight="true" outlineLevel="0" collapsed="false">
      <c r="A66" s="1" t="s">
        <v>6</v>
      </c>
      <c r="B66" s="1" t="s">
        <v>175</v>
      </c>
      <c r="C66" s="1" t="s">
        <v>157</v>
      </c>
      <c r="D66" s="1" t="n">
        <v>16.53</v>
      </c>
      <c r="E66" s="1" t="n">
        <v>1.5</v>
      </c>
      <c r="F66" s="1" t="n">
        <v>2</v>
      </c>
      <c r="G66" s="1" t="n">
        <v>49.59</v>
      </c>
      <c r="H66" s="1" t="s">
        <v>65</v>
      </c>
    </row>
    <row r="67" customFormat="false" ht="15" hidden="false" customHeight="true" outlineLevel="0" collapsed="false">
      <c r="A67" s="1" t="s">
        <v>6</v>
      </c>
      <c r="B67" s="1" t="s">
        <v>188</v>
      </c>
      <c r="C67" s="1" t="s">
        <v>157</v>
      </c>
      <c r="D67" s="1" t="n">
        <v>1</v>
      </c>
      <c r="E67" s="1" t="n">
        <v>5</v>
      </c>
      <c r="F67" s="1" t="n">
        <v>1</v>
      </c>
      <c r="G67" s="1" t="n">
        <v>5</v>
      </c>
      <c r="H67" s="1" t="s">
        <v>189</v>
      </c>
    </row>
    <row r="68" customFormat="false" ht="15" hidden="false" customHeight="true" outlineLevel="0" collapsed="false">
      <c r="A68" s="1" t="s">
        <v>7</v>
      </c>
      <c r="B68" s="1" t="s">
        <v>175</v>
      </c>
      <c r="C68" s="1" t="s">
        <v>157</v>
      </c>
      <c r="D68" s="1" t="n">
        <v>21.17</v>
      </c>
      <c r="E68" s="1" t="n">
        <v>1.5</v>
      </c>
      <c r="F68" s="1" t="n">
        <v>1</v>
      </c>
      <c r="G68" s="1" t="n">
        <v>31.76</v>
      </c>
      <c r="H68" s="1" t="s">
        <v>93</v>
      </c>
    </row>
    <row r="69" customFormat="false" ht="15" hidden="false" customHeight="true" outlineLevel="0" collapsed="false">
      <c r="A69" s="1" t="s">
        <v>7</v>
      </c>
      <c r="B69" s="1" t="s">
        <v>174</v>
      </c>
      <c r="C69" s="1" t="s">
        <v>157</v>
      </c>
      <c r="D69" s="1" t="n">
        <v>43.35</v>
      </c>
      <c r="E69" s="1" t="n">
        <v>1</v>
      </c>
      <c r="F69" s="1" t="n">
        <v>2</v>
      </c>
      <c r="G69" s="1" t="n">
        <v>86.7</v>
      </c>
      <c r="H69" s="1" t="s">
        <v>94</v>
      </c>
    </row>
    <row r="70" customFormat="false" ht="15" hidden="false" customHeight="true" outlineLevel="0" collapsed="false">
      <c r="A70" s="1" t="s">
        <v>8</v>
      </c>
      <c r="B70" s="1" t="s">
        <v>170</v>
      </c>
      <c r="C70" s="1" t="s">
        <v>164</v>
      </c>
      <c r="D70" s="1" t="n">
        <v>3.8</v>
      </c>
      <c r="E70" s="1" t="n">
        <v>2.5</v>
      </c>
      <c r="F70" s="1" t="n">
        <v>1</v>
      </c>
      <c r="G70" s="1" t="n">
        <v>9.5</v>
      </c>
      <c r="H70" s="1" t="s">
        <v>190</v>
      </c>
    </row>
    <row r="71" customFormat="false" ht="15" hidden="false" customHeight="true" outlineLevel="0" collapsed="false">
      <c r="A71" s="1" t="s">
        <v>7</v>
      </c>
      <c r="B71" s="1" t="s">
        <v>170</v>
      </c>
      <c r="C71" s="1" t="s">
        <v>164</v>
      </c>
      <c r="D71" s="1" t="n">
        <v>3.8</v>
      </c>
      <c r="E71" s="1" t="n">
        <v>2.5</v>
      </c>
      <c r="F71" s="1" t="n">
        <v>1</v>
      </c>
      <c r="G71" s="1" t="n">
        <v>9.5</v>
      </c>
      <c r="H71" s="1" t="s">
        <v>191</v>
      </c>
    </row>
    <row r="72" customFormat="false" ht="15" hidden="false" customHeight="true" outlineLevel="0" collapsed="false">
      <c r="A72" s="1" t="s">
        <v>7</v>
      </c>
      <c r="B72" s="1" t="s">
        <v>178</v>
      </c>
      <c r="C72" s="1" t="s">
        <v>179</v>
      </c>
      <c r="D72" s="1" t="n">
        <v>3</v>
      </c>
      <c r="E72" s="1" t="n">
        <v>15</v>
      </c>
      <c r="F72" s="1" t="n">
        <v>1</v>
      </c>
      <c r="G72" s="1" t="n">
        <v>45</v>
      </c>
      <c r="H72" s="1" t="s">
        <v>192</v>
      </c>
    </row>
    <row r="73" customFormat="false" ht="15" hidden="false" customHeight="true" outlineLevel="0" collapsed="false">
      <c r="A73" s="1" t="s">
        <v>9</v>
      </c>
      <c r="B73" s="1" t="s">
        <v>193</v>
      </c>
      <c r="C73" s="1" t="s">
        <v>179</v>
      </c>
      <c r="D73" s="1" t="n">
        <v>1</v>
      </c>
      <c r="E73" s="1" t="n">
        <v>5</v>
      </c>
      <c r="F73" s="1" t="n">
        <v>1</v>
      </c>
      <c r="G73" s="1" t="n">
        <v>5</v>
      </c>
      <c r="H73" s="1" t="s">
        <v>194</v>
      </c>
    </row>
    <row r="74" customFormat="false" ht="15" hidden="false" customHeight="true" outlineLevel="0" collapsed="false">
      <c r="A74" s="1" t="s">
        <v>9</v>
      </c>
      <c r="B74" s="1" t="s">
        <v>159</v>
      </c>
      <c r="C74" s="1" t="s">
        <v>157</v>
      </c>
      <c r="D74" s="1" t="n">
        <v>9.47</v>
      </c>
      <c r="E74" s="1" t="n">
        <v>8</v>
      </c>
      <c r="F74" s="1" t="n">
        <v>1</v>
      </c>
      <c r="G74" s="1" t="n">
        <v>75.8</v>
      </c>
      <c r="H74" s="1" t="s">
        <v>195</v>
      </c>
    </row>
    <row r="75" customFormat="false" ht="15" hidden="false" customHeight="true" outlineLevel="0" collapsed="false">
      <c r="A75" s="1" t="s">
        <v>9</v>
      </c>
      <c r="B75" s="1" t="s">
        <v>196</v>
      </c>
      <c r="C75" s="1" t="s">
        <v>164</v>
      </c>
      <c r="D75" s="1" t="n">
        <v>4.75</v>
      </c>
      <c r="E75" s="1" t="n">
        <v>10</v>
      </c>
      <c r="F75" s="1" t="n">
        <v>1</v>
      </c>
      <c r="G75" s="1" t="n">
        <v>47.5</v>
      </c>
      <c r="H75" s="1" t="s">
        <v>197</v>
      </c>
    </row>
    <row r="76" customFormat="false" ht="15" hidden="false" customHeight="true" outlineLevel="0" collapsed="false">
      <c r="A76" s="1" t="s">
        <v>9</v>
      </c>
      <c r="B76" s="1" t="s">
        <v>172</v>
      </c>
      <c r="C76" s="1" t="s">
        <v>157</v>
      </c>
      <c r="D76" s="1" t="n">
        <v>28.83</v>
      </c>
      <c r="E76" s="1" t="n">
        <v>0.5</v>
      </c>
      <c r="F76" s="1" t="n">
        <v>1</v>
      </c>
      <c r="G76" s="1" t="n">
        <v>14.42</v>
      </c>
      <c r="H76" s="1" t="s">
        <v>198</v>
      </c>
    </row>
    <row r="77" customFormat="false" ht="15" hidden="false" customHeight="true" outlineLevel="0" collapsed="false">
      <c r="A77" s="1" t="s">
        <v>9</v>
      </c>
      <c r="B77" s="1" t="s">
        <v>174</v>
      </c>
      <c r="C77" s="1" t="s">
        <v>157</v>
      </c>
      <c r="D77" s="1" t="n">
        <v>28.83</v>
      </c>
      <c r="E77" s="1" t="n">
        <v>1</v>
      </c>
      <c r="F77" s="1" t="n">
        <v>2</v>
      </c>
      <c r="G77" s="1" t="n">
        <v>57.66</v>
      </c>
      <c r="H77" s="1" t="s">
        <v>199</v>
      </c>
    </row>
    <row r="78" customFormat="false" ht="15" hidden="false" customHeight="true" outlineLevel="0" collapsed="false">
      <c r="A78" s="1" t="s">
        <v>9</v>
      </c>
      <c r="B78" s="1" t="s">
        <v>161</v>
      </c>
      <c r="C78" s="1" t="s">
        <v>157</v>
      </c>
      <c r="D78" s="1" t="n">
        <v>16.06</v>
      </c>
      <c r="E78" s="1" t="n">
        <v>9</v>
      </c>
      <c r="F78" s="1" t="n">
        <v>1</v>
      </c>
      <c r="G78" s="1" t="n">
        <v>144.56</v>
      </c>
      <c r="H78" s="1" t="s">
        <v>200</v>
      </c>
    </row>
    <row r="79" customFormat="false" ht="15" hidden="false" customHeight="true" outlineLevel="0" collapsed="false">
      <c r="A79" s="1" t="s">
        <v>9</v>
      </c>
      <c r="B79" s="1" t="s">
        <v>201</v>
      </c>
      <c r="C79" s="1" t="s">
        <v>157</v>
      </c>
      <c r="D79" s="1" t="n">
        <v>1.39</v>
      </c>
      <c r="E79" s="1" t="n">
        <v>6</v>
      </c>
      <c r="F79" s="1" t="n">
        <v>1</v>
      </c>
      <c r="G79" s="1" t="n">
        <v>8.31</v>
      </c>
      <c r="H79" s="1" t="s">
        <v>202</v>
      </c>
    </row>
    <row r="80" customFormat="false" ht="15" hidden="false" customHeight="true" outlineLevel="0" collapsed="false">
      <c r="A80" s="1" t="s">
        <v>9</v>
      </c>
      <c r="B80" s="1" t="s">
        <v>163</v>
      </c>
      <c r="C80" s="1" t="s">
        <v>164</v>
      </c>
      <c r="D80" s="1" t="n">
        <v>57.3</v>
      </c>
      <c r="E80" s="1" t="n">
        <v>2</v>
      </c>
      <c r="F80" s="1" t="n">
        <v>1</v>
      </c>
      <c r="G80" s="1" t="n">
        <v>114.6</v>
      </c>
      <c r="H80" s="1" t="s">
        <v>203</v>
      </c>
    </row>
    <row r="81" customFormat="false" ht="15" hidden="false" customHeight="true" outlineLevel="0" collapsed="false">
      <c r="A81" s="1" t="s">
        <v>9</v>
      </c>
      <c r="B81" s="1" t="s">
        <v>170</v>
      </c>
      <c r="C81" s="1" t="s">
        <v>164</v>
      </c>
      <c r="D81" s="1" t="n">
        <v>10.25</v>
      </c>
      <c r="E81" s="1" t="n">
        <v>2.5</v>
      </c>
      <c r="F81" s="1" t="n">
        <v>1</v>
      </c>
      <c r="G81" s="1" t="n">
        <v>25.62</v>
      </c>
      <c r="H81" s="1" t="s">
        <v>204</v>
      </c>
    </row>
    <row r="82" customFormat="false" ht="15" hidden="false" customHeight="true" outlineLevel="0" collapsed="false">
      <c r="A82" s="1" t="s">
        <v>9</v>
      </c>
      <c r="B82" s="1" t="s">
        <v>205</v>
      </c>
      <c r="C82" s="1" t="s">
        <v>164</v>
      </c>
      <c r="D82" s="1" t="n">
        <v>38.87</v>
      </c>
      <c r="E82" s="1" t="n">
        <v>4</v>
      </c>
      <c r="F82" s="1" t="n">
        <v>1</v>
      </c>
      <c r="G82" s="1" t="n">
        <v>155.48</v>
      </c>
      <c r="H82" s="1" t="s">
        <v>206</v>
      </c>
    </row>
    <row r="83" customFormat="false" ht="15" hidden="false" customHeight="true" outlineLevel="0" collapsed="false">
      <c r="A83" s="1" t="s">
        <v>9</v>
      </c>
      <c r="B83" s="1" t="s">
        <v>207</v>
      </c>
      <c r="C83" s="1" t="s">
        <v>164</v>
      </c>
      <c r="D83" s="1" t="n">
        <v>18.43</v>
      </c>
      <c r="E83" s="1" t="n">
        <v>3</v>
      </c>
      <c r="F83" s="1" t="n">
        <v>1</v>
      </c>
      <c r="G83" s="1" t="n">
        <v>55.29</v>
      </c>
      <c r="H83" s="1" t="s">
        <v>208</v>
      </c>
    </row>
    <row r="84" customFormat="false" ht="15" hidden="false" customHeight="true" outlineLevel="0" collapsed="false">
      <c r="A84" s="1" t="s">
        <v>9</v>
      </c>
      <c r="B84" s="1" t="s">
        <v>187</v>
      </c>
      <c r="C84" s="1" t="s">
        <v>157</v>
      </c>
      <c r="D84" s="1" t="n">
        <v>16.06</v>
      </c>
      <c r="E84" s="1" t="n">
        <v>0.5</v>
      </c>
      <c r="F84" s="1" t="n">
        <v>1</v>
      </c>
      <c r="G84" s="1" t="n">
        <v>8.03</v>
      </c>
      <c r="H84" s="1" t="s">
        <v>137</v>
      </c>
    </row>
    <row r="85" customFormat="false" ht="15" hidden="false" customHeight="true" outlineLevel="0" collapsed="false">
      <c r="A85" s="1" t="s">
        <v>9</v>
      </c>
      <c r="B85" s="1" t="s">
        <v>175</v>
      </c>
      <c r="C85" s="1" t="s">
        <v>157</v>
      </c>
      <c r="D85" s="1" t="n">
        <v>16.06</v>
      </c>
      <c r="E85" s="1" t="n">
        <v>1.5</v>
      </c>
      <c r="F85" s="1" t="n">
        <v>2</v>
      </c>
      <c r="G85" s="1" t="n">
        <v>48.19</v>
      </c>
      <c r="H85" s="1" t="s">
        <v>138</v>
      </c>
    </row>
    <row r="86" customFormat="false" ht="15" hidden="false" customHeight="true" outlineLevel="0" collapsed="false">
      <c r="A86" s="1" t="s">
        <v>10</v>
      </c>
      <c r="B86" s="1" t="s">
        <v>209</v>
      </c>
      <c r="C86" s="1" t="s">
        <v>157</v>
      </c>
      <c r="D86" s="1" t="n">
        <v>2.78</v>
      </c>
      <c r="E86" s="1" t="n">
        <v>6.5</v>
      </c>
      <c r="F86" s="1" t="n">
        <v>1</v>
      </c>
      <c r="G86" s="1" t="n">
        <v>18.08</v>
      </c>
      <c r="H86" s="1" t="s">
        <v>210</v>
      </c>
    </row>
    <row r="87" customFormat="false" ht="15" hidden="false" customHeight="true" outlineLevel="0" collapsed="false">
      <c r="A87" s="1" t="s">
        <v>10</v>
      </c>
      <c r="B87" s="1" t="s">
        <v>170</v>
      </c>
      <c r="C87" s="1" t="s">
        <v>164</v>
      </c>
      <c r="D87" s="1" t="n">
        <v>3.37</v>
      </c>
      <c r="E87" s="1" t="n">
        <v>2.5</v>
      </c>
      <c r="F87" s="1" t="n">
        <v>1</v>
      </c>
      <c r="G87" s="1" t="n">
        <v>8.43</v>
      </c>
      <c r="H87" s="1" t="s">
        <v>211</v>
      </c>
    </row>
    <row r="88" customFormat="false" ht="15" hidden="false" customHeight="true" outlineLevel="0" collapsed="false">
      <c r="A88" s="1" t="s">
        <v>9</v>
      </c>
      <c r="B88" s="1" t="s">
        <v>212</v>
      </c>
      <c r="C88" s="1" t="s">
        <v>179</v>
      </c>
      <c r="D88" s="1" t="n">
        <v>1</v>
      </c>
      <c r="E88" s="1" t="n">
        <v>15</v>
      </c>
      <c r="F88" s="1" t="n">
        <v>1</v>
      </c>
      <c r="G88" s="1" t="n">
        <v>15</v>
      </c>
      <c r="H88" s="1" t="s">
        <v>213</v>
      </c>
    </row>
    <row r="89" customFormat="false" ht="15" hidden="false" customHeight="true" outlineLevel="0" collapsed="false">
      <c r="A89" s="1" t="s">
        <v>11</v>
      </c>
      <c r="B89" s="1" t="s">
        <v>163</v>
      </c>
      <c r="C89" s="1" t="s">
        <v>164</v>
      </c>
      <c r="D89" s="1" t="n">
        <v>11.32</v>
      </c>
      <c r="E89" s="1" t="n">
        <v>2</v>
      </c>
      <c r="F89" s="1" t="n">
        <v>1</v>
      </c>
      <c r="G89" s="1" t="n">
        <v>22.64</v>
      </c>
      <c r="H89" s="1" t="s">
        <v>214</v>
      </c>
    </row>
    <row r="90" customFormat="false" ht="15" hidden="false" customHeight="true" outlineLevel="0" collapsed="false">
      <c r="A90" s="1" t="s">
        <v>11</v>
      </c>
      <c r="B90" s="1" t="s">
        <v>215</v>
      </c>
      <c r="C90" s="1" t="s">
        <v>164</v>
      </c>
      <c r="D90" s="1" t="n">
        <v>12.64</v>
      </c>
      <c r="E90" s="1" t="n">
        <v>3</v>
      </c>
      <c r="F90" s="1" t="n">
        <v>1</v>
      </c>
      <c r="G90" s="1" t="n">
        <v>37.92</v>
      </c>
      <c r="H90" s="1" t="s">
        <v>216</v>
      </c>
    </row>
    <row r="91" customFormat="false" ht="15" hidden="false" customHeight="true" outlineLevel="0" collapsed="false">
      <c r="A91" s="1" t="s">
        <v>11</v>
      </c>
      <c r="B91" s="1" t="s">
        <v>170</v>
      </c>
      <c r="C91" s="1" t="s">
        <v>164</v>
      </c>
      <c r="D91" s="1" t="n">
        <v>13.09</v>
      </c>
      <c r="E91" s="1" t="n">
        <v>2.5</v>
      </c>
      <c r="F91" s="1" t="n">
        <v>1</v>
      </c>
      <c r="G91" s="1" t="n">
        <v>32.73</v>
      </c>
      <c r="H91" s="1" t="s">
        <v>217</v>
      </c>
    </row>
    <row r="92" customFormat="false" ht="15" hidden="false" customHeight="true" outlineLevel="0" collapsed="false">
      <c r="A92" s="1" t="s">
        <v>11</v>
      </c>
      <c r="B92" s="1" t="s">
        <v>159</v>
      </c>
      <c r="C92" s="1" t="s">
        <v>157</v>
      </c>
      <c r="D92" s="1" t="n">
        <v>0.86</v>
      </c>
      <c r="E92" s="1" t="n">
        <v>8</v>
      </c>
      <c r="F92" s="1" t="n">
        <v>1</v>
      </c>
      <c r="G92" s="1" t="n">
        <v>6.88</v>
      </c>
      <c r="H92" s="1" t="s">
        <v>218</v>
      </c>
    </row>
    <row r="93" customFormat="false" ht="15" hidden="false" customHeight="true" outlineLevel="0" collapsed="false">
      <c r="A93" s="1" t="s">
        <v>11</v>
      </c>
      <c r="B93" s="1" t="s">
        <v>212</v>
      </c>
      <c r="C93" s="1" t="s">
        <v>157</v>
      </c>
      <c r="D93" s="1" t="n">
        <v>1</v>
      </c>
      <c r="E93" s="1" t="n">
        <v>15</v>
      </c>
      <c r="F93" s="1" t="n">
        <v>1</v>
      </c>
      <c r="G93" s="1" t="n">
        <v>15</v>
      </c>
      <c r="H93" s="1" t="s">
        <v>219</v>
      </c>
    </row>
    <row r="94" customFormat="false" ht="15" hidden="false" customHeight="true" outlineLevel="0" collapsed="false">
      <c r="A94" s="1" t="s">
        <v>11</v>
      </c>
      <c r="B94" s="1" t="s">
        <v>161</v>
      </c>
      <c r="C94" s="1" t="s">
        <v>157</v>
      </c>
      <c r="D94" s="1" t="n">
        <v>9.05</v>
      </c>
      <c r="E94" s="1" t="n">
        <v>9</v>
      </c>
      <c r="F94" s="1" t="n">
        <v>1</v>
      </c>
      <c r="G94" s="1" t="n">
        <v>81.45</v>
      </c>
      <c r="H94" s="1" t="s">
        <v>220</v>
      </c>
    </row>
    <row r="95" customFormat="false" ht="15" hidden="false" customHeight="true" outlineLevel="0" collapsed="false">
      <c r="A95" s="1" t="s">
        <v>11</v>
      </c>
      <c r="B95" s="1" t="s">
        <v>221</v>
      </c>
      <c r="C95" s="1" t="s">
        <v>157</v>
      </c>
      <c r="D95" s="1" t="n">
        <v>3.02</v>
      </c>
      <c r="E95" s="1" t="n">
        <v>4</v>
      </c>
      <c r="F95" s="1" t="n">
        <v>1</v>
      </c>
      <c r="G95" s="1" t="n">
        <v>12.1</v>
      </c>
      <c r="H95" s="1" t="s">
        <v>222</v>
      </c>
    </row>
    <row r="96" customFormat="false" ht="15" hidden="false" customHeight="true" outlineLevel="0" collapsed="false">
      <c r="A96" s="1" t="s">
        <v>11</v>
      </c>
      <c r="B96" s="1" t="s">
        <v>172</v>
      </c>
      <c r="C96" s="1" t="s">
        <v>157</v>
      </c>
      <c r="D96" s="1" t="n">
        <v>17.56</v>
      </c>
      <c r="E96" s="1" t="n">
        <v>0.5</v>
      </c>
      <c r="F96" s="1" t="n">
        <v>1</v>
      </c>
      <c r="G96" s="1" t="n">
        <v>8.78</v>
      </c>
      <c r="H96" s="1" t="s">
        <v>125</v>
      </c>
    </row>
    <row r="97" customFormat="false" ht="15" hidden="false" customHeight="true" outlineLevel="0" collapsed="false">
      <c r="A97" s="1" t="s">
        <v>11</v>
      </c>
      <c r="B97" s="1" t="s">
        <v>187</v>
      </c>
      <c r="C97" s="1" t="s">
        <v>157</v>
      </c>
      <c r="D97" s="1" t="n">
        <v>9.05</v>
      </c>
      <c r="E97" s="1" t="n">
        <v>0.5</v>
      </c>
      <c r="F97" s="1" t="n">
        <v>1</v>
      </c>
      <c r="G97" s="1" t="n">
        <v>4.52</v>
      </c>
      <c r="H97" s="1" t="s">
        <v>123</v>
      </c>
    </row>
    <row r="98" customFormat="false" ht="15" hidden="false" customHeight="true" outlineLevel="0" collapsed="false">
      <c r="A98" s="1" t="s">
        <v>11</v>
      </c>
      <c r="B98" s="1" t="s">
        <v>174</v>
      </c>
      <c r="C98" s="1" t="s">
        <v>157</v>
      </c>
      <c r="D98" s="1" t="n">
        <v>17.56</v>
      </c>
      <c r="E98" s="1" t="n">
        <v>1</v>
      </c>
      <c r="F98" s="1" t="n">
        <v>2</v>
      </c>
      <c r="G98" s="1" t="n">
        <v>35.12</v>
      </c>
      <c r="H98" s="1" t="s">
        <v>126</v>
      </c>
    </row>
    <row r="99" customFormat="false" ht="15" hidden="false" customHeight="true" outlineLevel="0" collapsed="false">
      <c r="A99" s="1" t="s">
        <v>11</v>
      </c>
      <c r="B99" s="1" t="s">
        <v>175</v>
      </c>
      <c r="C99" s="1" t="s">
        <v>157</v>
      </c>
      <c r="D99" s="1" t="n">
        <v>9.05</v>
      </c>
      <c r="E99" s="1" t="n">
        <v>1.5</v>
      </c>
      <c r="F99" s="1" t="n">
        <v>2</v>
      </c>
      <c r="G99" s="1" t="n">
        <v>27.15</v>
      </c>
      <c r="H99" s="1" t="s">
        <v>124</v>
      </c>
    </row>
    <row r="100" customFormat="false" ht="15" hidden="false" customHeight="true" outlineLevel="0" collapsed="false">
      <c r="A100" s="1" t="s">
        <v>12</v>
      </c>
      <c r="B100" s="1" t="s">
        <v>159</v>
      </c>
      <c r="C100" s="1" t="s">
        <v>157</v>
      </c>
      <c r="D100" s="1" t="n">
        <v>5.29</v>
      </c>
      <c r="E100" s="1" t="n">
        <v>8</v>
      </c>
      <c r="F100" s="1" t="n">
        <v>1</v>
      </c>
      <c r="G100" s="1" t="n">
        <v>42.35</v>
      </c>
      <c r="H100" s="1" t="s">
        <v>223</v>
      </c>
    </row>
    <row r="101" customFormat="false" ht="15" hidden="false" customHeight="true" outlineLevel="0" collapsed="false">
      <c r="A101" s="1" t="s">
        <v>12</v>
      </c>
      <c r="B101" s="1" t="s">
        <v>224</v>
      </c>
      <c r="C101" s="1" t="s">
        <v>157</v>
      </c>
      <c r="D101" s="1" t="n">
        <v>0.54</v>
      </c>
      <c r="E101" s="1" t="n">
        <v>15</v>
      </c>
      <c r="F101" s="1" t="n">
        <v>1</v>
      </c>
      <c r="G101" s="1" t="n">
        <v>8.1</v>
      </c>
      <c r="H101" s="1" t="s">
        <v>225</v>
      </c>
    </row>
    <row r="102" customFormat="false" ht="15" hidden="false" customHeight="true" outlineLevel="0" collapsed="false">
      <c r="A102" s="1" t="s">
        <v>12</v>
      </c>
      <c r="B102" s="1" t="s">
        <v>226</v>
      </c>
      <c r="C102" s="1" t="s">
        <v>157</v>
      </c>
      <c r="D102" s="1" t="n">
        <v>4.65</v>
      </c>
      <c r="E102" s="1" t="n">
        <v>15</v>
      </c>
      <c r="F102" s="1" t="n">
        <v>1</v>
      </c>
      <c r="G102" s="1" t="n">
        <v>69.77</v>
      </c>
      <c r="H102" s="1" t="s">
        <v>227</v>
      </c>
    </row>
    <row r="103" customFormat="false" ht="15" hidden="false" customHeight="true" outlineLevel="0" collapsed="false">
      <c r="A103" s="1" t="s">
        <v>12</v>
      </c>
      <c r="B103" s="1" t="s">
        <v>161</v>
      </c>
      <c r="C103" s="1" t="s">
        <v>157</v>
      </c>
      <c r="D103" s="1" t="n">
        <v>1.19</v>
      </c>
      <c r="E103" s="1" t="n">
        <v>9</v>
      </c>
      <c r="F103" s="1" t="n">
        <v>1</v>
      </c>
      <c r="G103" s="1" t="n">
        <v>10.73</v>
      </c>
      <c r="H103" s="1" t="s">
        <v>228</v>
      </c>
    </row>
    <row r="104" customFormat="false" ht="15" hidden="false" customHeight="true" outlineLevel="0" collapsed="false">
      <c r="A104" s="1" t="s">
        <v>12</v>
      </c>
      <c r="B104" s="1" t="s">
        <v>215</v>
      </c>
      <c r="C104" s="1" t="s">
        <v>164</v>
      </c>
      <c r="D104" s="1" t="n">
        <v>11.24</v>
      </c>
      <c r="E104" s="1" t="n">
        <v>3</v>
      </c>
      <c r="F104" s="1" t="n">
        <v>1</v>
      </c>
      <c r="G104" s="1" t="n">
        <v>33.72</v>
      </c>
      <c r="H104" s="1" t="s">
        <v>229</v>
      </c>
    </row>
    <row r="105" customFormat="false" ht="15" hidden="false" customHeight="true" outlineLevel="0" collapsed="false">
      <c r="A105" s="1" t="s">
        <v>12</v>
      </c>
      <c r="B105" s="1" t="s">
        <v>170</v>
      </c>
      <c r="C105" s="1" t="s">
        <v>164</v>
      </c>
      <c r="D105" s="1" t="n">
        <v>1.49</v>
      </c>
      <c r="E105" s="1" t="n">
        <v>2.5</v>
      </c>
      <c r="F105" s="1" t="n">
        <v>1</v>
      </c>
      <c r="G105" s="1" t="n">
        <v>3.73</v>
      </c>
      <c r="H105" s="1" t="s">
        <v>230</v>
      </c>
    </row>
    <row r="106" customFormat="false" ht="15" hidden="false" customHeight="true" outlineLevel="0" collapsed="false">
      <c r="A106" s="1" t="s">
        <v>12</v>
      </c>
      <c r="B106" s="1" t="s">
        <v>231</v>
      </c>
      <c r="C106" s="1" t="s">
        <v>157</v>
      </c>
      <c r="D106" s="1" t="n">
        <v>2.43</v>
      </c>
      <c r="E106" s="1" t="n">
        <v>3</v>
      </c>
      <c r="F106" s="1" t="n">
        <v>1</v>
      </c>
      <c r="G106" s="1" t="n">
        <v>7.29</v>
      </c>
      <c r="H106" s="1" t="s">
        <v>232</v>
      </c>
    </row>
    <row r="107" customFormat="false" ht="15" hidden="false" customHeight="true" outlineLevel="0" collapsed="false">
      <c r="A107" s="1" t="s">
        <v>12</v>
      </c>
      <c r="B107" s="1" t="s">
        <v>163</v>
      </c>
      <c r="C107" s="1" t="s">
        <v>164</v>
      </c>
      <c r="D107" s="1" t="n">
        <v>15.37</v>
      </c>
      <c r="E107" s="1" t="n">
        <v>2</v>
      </c>
      <c r="F107" s="1" t="n">
        <v>1</v>
      </c>
      <c r="G107" s="1" t="n">
        <v>30.74</v>
      </c>
      <c r="H107" s="1" t="s">
        <v>233</v>
      </c>
    </row>
    <row r="108" customFormat="false" ht="15" hidden="false" customHeight="true" outlineLevel="0" collapsed="false">
      <c r="A108" s="1" t="s">
        <v>12</v>
      </c>
      <c r="B108" s="1" t="s">
        <v>205</v>
      </c>
      <c r="C108" s="1" t="s">
        <v>164</v>
      </c>
      <c r="D108" s="1" t="n">
        <v>5.38</v>
      </c>
      <c r="E108" s="1" t="n">
        <v>4</v>
      </c>
      <c r="F108" s="1" t="n">
        <v>1</v>
      </c>
      <c r="G108" s="1" t="n">
        <v>21.52</v>
      </c>
      <c r="H108" s="1" t="s">
        <v>234</v>
      </c>
    </row>
    <row r="109" customFormat="false" ht="15" hidden="false" customHeight="true" outlineLevel="0" collapsed="false">
      <c r="A109" s="1" t="s">
        <v>12</v>
      </c>
      <c r="B109" s="1" t="s">
        <v>207</v>
      </c>
      <c r="C109" s="1" t="s">
        <v>164</v>
      </c>
      <c r="D109" s="1" t="n">
        <v>9.99</v>
      </c>
      <c r="E109" s="1" t="n">
        <v>3</v>
      </c>
      <c r="F109" s="1" t="n">
        <v>1</v>
      </c>
      <c r="G109" s="1" t="n">
        <v>29.97</v>
      </c>
      <c r="H109" s="1" t="s">
        <v>235</v>
      </c>
    </row>
    <row r="110" customFormat="false" ht="15" hidden="false" customHeight="true" outlineLevel="0" collapsed="false">
      <c r="A110" s="1" t="s">
        <v>12</v>
      </c>
      <c r="B110" s="1" t="s">
        <v>172</v>
      </c>
      <c r="C110" s="1" t="s">
        <v>157</v>
      </c>
      <c r="D110" s="1" t="n">
        <v>19.38</v>
      </c>
      <c r="E110" s="1" t="n">
        <v>0.5</v>
      </c>
      <c r="F110" s="1" t="n">
        <v>1</v>
      </c>
      <c r="G110" s="1" t="n">
        <v>9.69</v>
      </c>
      <c r="H110" s="1" t="s">
        <v>101</v>
      </c>
    </row>
    <row r="111" customFormat="false" ht="15" hidden="false" customHeight="true" outlineLevel="0" collapsed="false">
      <c r="A111" s="1" t="s">
        <v>12</v>
      </c>
      <c r="B111" s="1" t="s">
        <v>187</v>
      </c>
      <c r="C111" s="1" t="s">
        <v>157</v>
      </c>
      <c r="D111" s="1" t="n">
        <v>1.3</v>
      </c>
      <c r="E111" s="1" t="n">
        <v>0.5</v>
      </c>
      <c r="F111" s="1" t="n">
        <v>1</v>
      </c>
      <c r="G111" s="1" t="n">
        <v>0.65</v>
      </c>
      <c r="H111" s="1" t="s">
        <v>99</v>
      </c>
    </row>
    <row r="112" customFormat="false" ht="15" hidden="false" customHeight="true" outlineLevel="0" collapsed="false">
      <c r="A112" s="1" t="s">
        <v>12</v>
      </c>
      <c r="B112" s="1" t="s">
        <v>174</v>
      </c>
      <c r="C112" s="1" t="s">
        <v>157</v>
      </c>
      <c r="D112" s="1" t="n">
        <v>9.69</v>
      </c>
      <c r="E112" s="1" t="n">
        <v>1</v>
      </c>
      <c r="F112" s="1" t="n">
        <v>2</v>
      </c>
      <c r="G112" s="1" t="n">
        <v>19.38</v>
      </c>
      <c r="H112" s="1" t="s">
        <v>102</v>
      </c>
    </row>
    <row r="113" customFormat="false" ht="15" hidden="false" customHeight="true" outlineLevel="0" collapsed="false">
      <c r="A113" s="1" t="s">
        <v>12</v>
      </c>
      <c r="B113" s="1" t="s">
        <v>175</v>
      </c>
      <c r="C113" s="1" t="s">
        <v>157</v>
      </c>
      <c r="D113" s="1" t="n">
        <v>1.3</v>
      </c>
      <c r="E113" s="1" t="n">
        <v>1.5</v>
      </c>
      <c r="F113" s="1" t="n">
        <v>2</v>
      </c>
      <c r="G113" s="1" t="n">
        <v>3.92</v>
      </c>
      <c r="H113" s="1" t="s">
        <v>100</v>
      </c>
    </row>
    <row r="114" customFormat="false" ht="15" hidden="false" customHeight="true" outlineLevel="0" collapsed="false">
      <c r="A114" s="1" t="s">
        <v>13</v>
      </c>
      <c r="B114" s="1" t="s">
        <v>226</v>
      </c>
      <c r="C114" s="1" t="s">
        <v>157</v>
      </c>
      <c r="D114" s="1" t="n">
        <v>0.41</v>
      </c>
      <c r="E114" s="1" t="n">
        <v>15</v>
      </c>
      <c r="F114" s="1" t="n">
        <v>1</v>
      </c>
      <c r="G114" s="1" t="n">
        <v>6.18</v>
      </c>
      <c r="H114" s="1" t="s">
        <v>236</v>
      </c>
    </row>
    <row r="115" customFormat="false" ht="15" hidden="false" customHeight="true" outlineLevel="0" collapsed="false">
      <c r="A115" s="1" t="s">
        <v>13</v>
      </c>
      <c r="B115" s="1" t="s">
        <v>212</v>
      </c>
      <c r="C115" s="1" t="s">
        <v>164</v>
      </c>
      <c r="D115" s="1" t="n">
        <v>4</v>
      </c>
      <c r="E115" s="1" t="n">
        <v>15</v>
      </c>
      <c r="F115" s="1" t="n">
        <v>1</v>
      </c>
      <c r="G115" s="1" t="n">
        <v>60</v>
      </c>
      <c r="H115" s="1" t="s">
        <v>237</v>
      </c>
    </row>
    <row r="116" customFormat="false" ht="15" hidden="false" customHeight="true" outlineLevel="0" collapsed="false">
      <c r="A116" s="1" t="s">
        <v>13</v>
      </c>
      <c r="B116" s="1" t="s">
        <v>238</v>
      </c>
      <c r="C116" s="1" t="s">
        <v>157</v>
      </c>
      <c r="D116" s="1" t="n">
        <v>4.66</v>
      </c>
      <c r="E116" s="1" t="n">
        <v>4</v>
      </c>
      <c r="F116" s="1" t="n">
        <v>1</v>
      </c>
      <c r="G116" s="1" t="n">
        <v>18.64</v>
      </c>
      <c r="H116" s="1" t="s">
        <v>239</v>
      </c>
    </row>
    <row r="117" customFormat="false" ht="15" hidden="false" customHeight="true" outlineLevel="0" collapsed="false">
      <c r="A117" s="1" t="s">
        <v>13</v>
      </c>
      <c r="B117" s="1" t="s">
        <v>240</v>
      </c>
      <c r="C117" s="1" t="s">
        <v>157</v>
      </c>
      <c r="D117" s="1" t="n">
        <v>1.52</v>
      </c>
      <c r="E117" s="1" t="n">
        <v>9</v>
      </c>
      <c r="F117" s="1" t="n">
        <v>1</v>
      </c>
      <c r="G117" s="1" t="n">
        <v>13.66</v>
      </c>
      <c r="H117" s="1" t="s">
        <v>241</v>
      </c>
    </row>
    <row r="118" customFormat="false" ht="15" hidden="false" customHeight="true" outlineLevel="0" collapsed="false">
      <c r="A118" s="1" t="s">
        <v>13</v>
      </c>
      <c r="B118" s="1" t="s">
        <v>163</v>
      </c>
      <c r="C118" s="1" t="s">
        <v>164</v>
      </c>
      <c r="D118" s="1" t="n">
        <v>8.17</v>
      </c>
      <c r="E118" s="1" t="n">
        <v>2</v>
      </c>
      <c r="F118" s="1" t="n">
        <v>1</v>
      </c>
      <c r="G118" s="1" t="n">
        <v>16.34</v>
      </c>
      <c r="H118" s="1" t="s">
        <v>242</v>
      </c>
    </row>
    <row r="119" customFormat="false" ht="15" hidden="false" customHeight="true" outlineLevel="0" collapsed="false">
      <c r="A119" s="1" t="s">
        <v>13</v>
      </c>
      <c r="B119" s="1" t="s">
        <v>205</v>
      </c>
      <c r="C119" s="1" t="s">
        <v>164</v>
      </c>
      <c r="D119" s="1" t="n">
        <v>3.86</v>
      </c>
      <c r="E119" s="1" t="n">
        <v>4</v>
      </c>
      <c r="F119" s="1" t="n">
        <v>1</v>
      </c>
      <c r="G119" s="1" t="n">
        <v>15.44</v>
      </c>
      <c r="H119" s="1" t="s">
        <v>243</v>
      </c>
    </row>
    <row r="120" customFormat="false" ht="15" hidden="false" customHeight="true" outlineLevel="0" collapsed="false">
      <c r="A120" s="1" t="s">
        <v>13</v>
      </c>
      <c r="B120" s="1" t="s">
        <v>207</v>
      </c>
      <c r="C120" s="1" t="s">
        <v>164</v>
      </c>
      <c r="D120" s="1" t="n">
        <v>4.31</v>
      </c>
      <c r="E120" s="1" t="n">
        <v>3</v>
      </c>
      <c r="F120" s="1" t="n">
        <v>1</v>
      </c>
      <c r="G120" s="1" t="n">
        <v>12.93</v>
      </c>
      <c r="H120" s="1" t="s">
        <v>244</v>
      </c>
    </row>
    <row r="121" customFormat="false" ht="15" hidden="false" customHeight="true" outlineLevel="0" collapsed="false">
      <c r="A121" s="1" t="s">
        <v>13</v>
      </c>
      <c r="B121" s="1" t="s">
        <v>187</v>
      </c>
      <c r="C121" s="1" t="s">
        <v>157</v>
      </c>
      <c r="D121" s="1" t="n">
        <v>1.52</v>
      </c>
      <c r="E121" s="1" t="n">
        <v>0.5</v>
      </c>
      <c r="F121" s="1" t="n">
        <v>1</v>
      </c>
      <c r="G121" s="1" t="n">
        <v>0.76</v>
      </c>
      <c r="H121" s="1" t="s">
        <v>245</v>
      </c>
    </row>
    <row r="122" customFormat="false" ht="15" hidden="false" customHeight="true" outlineLevel="0" collapsed="false">
      <c r="A122" s="1" t="s">
        <v>13</v>
      </c>
      <c r="B122" s="1" t="s">
        <v>172</v>
      </c>
      <c r="C122" s="1" t="s">
        <v>157</v>
      </c>
      <c r="D122" s="1" t="n">
        <v>5.07</v>
      </c>
      <c r="E122" s="1" t="n">
        <v>0.5</v>
      </c>
      <c r="F122" s="1" t="n">
        <v>1</v>
      </c>
      <c r="G122" s="1" t="n">
        <v>2.54</v>
      </c>
      <c r="H122" s="1" t="s">
        <v>246</v>
      </c>
    </row>
    <row r="123" customFormat="false" ht="15" hidden="false" customHeight="true" outlineLevel="0" collapsed="false">
      <c r="A123" s="1" t="s">
        <v>13</v>
      </c>
      <c r="B123" s="1" t="s">
        <v>175</v>
      </c>
      <c r="C123" s="1" t="s">
        <v>157</v>
      </c>
      <c r="D123" s="1" t="n">
        <v>1.52</v>
      </c>
      <c r="E123" s="1" t="n">
        <v>1.5</v>
      </c>
      <c r="F123" s="1" t="n">
        <v>2</v>
      </c>
      <c r="G123" s="1" t="n">
        <v>4.55</v>
      </c>
      <c r="H123" s="1" t="s">
        <v>247</v>
      </c>
    </row>
    <row r="124" customFormat="false" ht="15" hidden="false" customHeight="true" outlineLevel="0" collapsed="false">
      <c r="A124" s="1" t="s">
        <v>13</v>
      </c>
      <c r="B124" s="1" t="s">
        <v>174</v>
      </c>
      <c r="C124" s="1" t="s">
        <v>157</v>
      </c>
      <c r="D124" s="1" t="n">
        <v>5.07</v>
      </c>
      <c r="E124" s="1" t="n">
        <v>1</v>
      </c>
      <c r="F124" s="1" t="n">
        <v>2</v>
      </c>
      <c r="G124" s="1" t="n">
        <v>10.14</v>
      </c>
      <c r="H124" s="1" t="s">
        <v>248</v>
      </c>
    </row>
    <row r="125" customFormat="false" ht="15" hidden="false" customHeight="true" outlineLevel="0" collapsed="false">
      <c r="A125" s="1" t="s">
        <v>15</v>
      </c>
      <c r="B125" s="1" t="s">
        <v>249</v>
      </c>
      <c r="C125" s="1" t="s">
        <v>157</v>
      </c>
      <c r="D125" s="1" t="n">
        <v>18.58</v>
      </c>
      <c r="E125" s="1" t="n">
        <v>9</v>
      </c>
      <c r="F125" s="1" t="n">
        <v>1</v>
      </c>
      <c r="G125" s="1" t="n">
        <v>167.26</v>
      </c>
      <c r="H125" s="1" t="s">
        <v>250</v>
      </c>
    </row>
    <row r="126" customFormat="false" ht="15" hidden="false" customHeight="true" outlineLevel="0" collapsed="false">
      <c r="A126" s="1" t="s">
        <v>15</v>
      </c>
      <c r="B126" s="1" t="s">
        <v>163</v>
      </c>
      <c r="C126" s="1" t="s">
        <v>164</v>
      </c>
      <c r="D126" s="1" t="n">
        <v>36.37</v>
      </c>
      <c r="E126" s="1" t="n">
        <v>2</v>
      </c>
      <c r="F126" s="1" t="n">
        <v>1</v>
      </c>
      <c r="G126" s="1" t="n">
        <v>72.74</v>
      </c>
      <c r="H126" s="1" t="s">
        <v>251</v>
      </c>
    </row>
    <row r="127" customFormat="false" ht="15" hidden="false" customHeight="true" outlineLevel="0" collapsed="false">
      <c r="A127" s="1" t="s">
        <v>15</v>
      </c>
      <c r="B127" s="1" t="s">
        <v>215</v>
      </c>
      <c r="C127" s="1" t="s">
        <v>164</v>
      </c>
      <c r="D127" s="1" t="n">
        <v>14.95</v>
      </c>
      <c r="E127" s="1" t="n">
        <v>3</v>
      </c>
      <c r="F127" s="1" t="n">
        <v>1</v>
      </c>
      <c r="G127" s="1" t="n">
        <v>44.85</v>
      </c>
      <c r="H127" s="1" t="s">
        <v>252</v>
      </c>
    </row>
    <row r="128" customFormat="false" ht="15" hidden="false" customHeight="true" outlineLevel="0" collapsed="false">
      <c r="A128" s="1" t="s">
        <v>15</v>
      </c>
      <c r="B128" s="1" t="s">
        <v>253</v>
      </c>
      <c r="C128" s="1" t="s">
        <v>179</v>
      </c>
      <c r="D128" s="1" t="n">
        <v>24</v>
      </c>
      <c r="E128" s="1" t="n">
        <v>0.5</v>
      </c>
      <c r="F128" s="1" t="n">
        <v>1</v>
      </c>
      <c r="G128" s="1" t="n">
        <v>12</v>
      </c>
      <c r="H128" s="1" t="s">
        <v>254</v>
      </c>
    </row>
    <row r="129" customFormat="false" ht="15" hidden="false" customHeight="true" outlineLevel="0" collapsed="false">
      <c r="A129" s="1" t="s">
        <v>15</v>
      </c>
      <c r="B129" s="1" t="s">
        <v>187</v>
      </c>
      <c r="C129" s="1" t="s">
        <v>157</v>
      </c>
      <c r="D129" s="1" t="n">
        <v>18.58</v>
      </c>
      <c r="E129" s="1" t="n">
        <v>0.5</v>
      </c>
      <c r="F129" s="1" t="n">
        <v>1</v>
      </c>
      <c r="G129" s="1" t="n">
        <v>9.29</v>
      </c>
      <c r="H129" s="1" t="s">
        <v>255</v>
      </c>
    </row>
    <row r="130" customFormat="false" ht="15" hidden="false" customHeight="true" outlineLevel="0" collapsed="false">
      <c r="A130" s="1" t="s">
        <v>15</v>
      </c>
      <c r="B130" s="1" t="s">
        <v>175</v>
      </c>
      <c r="C130" s="1" t="s">
        <v>157</v>
      </c>
      <c r="D130" s="1" t="n">
        <v>18.58</v>
      </c>
      <c r="E130" s="1" t="n">
        <v>1.5</v>
      </c>
      <c r="F130" s="1" t="n">
        <v>2</v>
      </c>
      <c r="G130" s="1" t="n">
        <v>55.75</v>
      </c>
      <c r="H130" s="1" t="s">
        <v>256</v>
      </c>
    </row>
    <row r="131" customFormat="false" ht="15" hidden="false" customHeight="true" outlineLevel="0" collapsed="false">
      <c r="A131" s="1" t="s">
        <v>16</v>
      </c>
      <c r="B131" s="1" t="s">
        <v>215</v>
      </c>
      <c r="C131" s="1" t="s">
        <v>164</v>
      </c>
      <c r="D131" s="1" t="n">
        <v>9</v>
      </c>
      <c r="E131" s="1" t="n">
        <v>3</v>
      </c>
      <c r="F131" s="1" t="n">
        <v>1</v>
      </c>
      <c r="G131" s="1" t="n">
        <v>27</v>
      </c>
      <c r="H131" s="1" t="s">
        <v>257</v>
      </c>
    </row>
    <row r="132" customFormat="false" ht="15" hidden="false" customHeight="true" outlineLevel="0" collapsed="false">
      <c r="A132" s="1" t="s">
        <v>16</v>
      </c>
      <c r="B132" s="1" t="s">
        <v>172</v>
      </c>
      <c r="C132" s="1" t="s">
        <v>157</v>
      </c>
      <c r="D132" s="1" t="n">
        <v>17.57</v>
      </c>
      <c r="E132" s="1" t="n">
        <v>0.5</v>
      </c>
      <c r="F132" s="1" t="n">
        <v>1</v>
      </c>
      <c r="G132" s="1" t="n">
        <v>8.79</v>
      </c>
      <c r="H132" s="1" t="s">
        <v>103</v>
      </c>
    </row>
    <row r="133" customFormat="false" ht="15" hidden="false" customHeight="true" outlineLevel="0" collapsed="false">
      <c r="A133" s="1" t="s">
        <v>16</v>
      </c>
      <c r="B133" s="1" t="s">
        <v>174</v>
      </c>
      <c r="C133" s="1" t="s">
        <v>157</v>
      </c>
      <c r="D133" s="1" t="n">
        <v>17.57</v>
      </c>
      <c r="E133" s="1" t="n">
        <v>1</v>
      </c>
      <c r="F133" s="1" t="n">
        <v>2</v>
      </c>
      <c r="G133" s="1" t="n">
        <v>35.14</v>
      </c>
      <c r="H133" s="1" t="s">
        <v>104</v>
      </c>
    </row>
    <row r="134" customFormat="false" ht="15" hidden="false" customHeight="true" outlineLevel="0" collapsed="false">
      <c r="A134" s="1" t="s">
        <v>16</v>
      </c>
      <c r="B134" s="1" t="s">
        <v>258</v>
      </c>
      <c r="C134" s="1" t="s">
        <v>164</v>
      </c>
      <c r="D134" s="1" t="n">
        <v>4</v>
      </c>
      <c r="E134" s="1" t="n">
        <v>10</v>
      </c>
      <c r="F134" s="1" t="n">
        <v>1</v>
      </c>
      <c r="G134" s="1" t="n">
        <v>40</v>
      </c>
      <c r="H134" s="1" t="s">
        <v>259</v>
      </c>
    </row>
    <row r="135" customFormat="false" ht="15" hidden="false" customHeight="true" outlineLevel="0" collapsed="false">
      <c r="A135" s="1" t="s">
        <v>17</v>
      </c>
      <c r="B135" s="1" t="s">
        <v>161</v>
      </c>
      <c r="C135" s="1" t="s">
        <v>157</v>
      </c>
      <c r="D135" s="1" t="n">
        <v>1.2</v>
      </c>
      <c r="E135" s="1" t="n">
        <v>9</v>
      </c>
      <c r="F135" s="1" t="n">
        <v>1</v>
      </c>
      <c r="G135" s="1" t="n">
        <v>10.8</v>
      </c>
      <c r="H135" s="1" t="s">
        <v>260</v>
      </c>
    </row>
    <row r="136" customFormat="false" ht="15" hidden="false" customHeight="true" outlineLevel="0" collapsed="false">
      <c r="A136" s="1" t="s">
        <v>17</v>
      </c>
      <c r="B136" s="1" t="s">
        <v>261</v>
      </c>
      <c r="C136" s="1" t="s">
        <v>157</v>
      </c>
      <c r="D136" s="1" t="n">
        <v>3.26</v>
      </c>
      <c r="E136" s="1" t="n">
        <v>9</v>
      </c>
      <c r="F136" s="1" t="n">
        <v>1</v>
      </c>
      <c r="G136" s="1" t="n">
        <v>29.35</v>
      </c>
      <c r="H136" s="1" t="s">
        <v>262</v>
      </c>
    </row>
    <row r="137" customFormat="false" ht="15" hidden="false" customHeight="true" outlineLevel="0" collapsed="false">
      <c r="A137" s="1" t="s">
        <v>17</v>
      </c>
      <c r="B137" s="1" t="s">
        <v>163</v>
      </c>
      <c r="C137" s="1" t="s">
        <v>164</v>
      </c>
      <c r="D137" s="1" t="n">
        <v>11.02</v>
      </c>
      <c r="E137" s="1" t="n">
        <v>2</v>
      </c>
      <c r="F137" s="1" t="n">
        <v>1</v>
      </c>
      <c r="G137" s="1" t="n">
        <v>22.04</v>
      </c>
      <c r="H137" s="1" t="s">
        <v>263</v>
      </c>
    </row>
    <row r="138" customFormat="false" ht="15" hidden="false" customHeight="true" outlineLevel="0" collapsed="false">
      <c r="A138" s="1" t="s">
        <v>17</v>
      </c>
      <c r="B138" s="1" t="s">
        <v>205</v>
      </c>
      <c r="C138" s="1" t="s">
        <v>164</v>
      </c>
      <c r="D138" s="1" t="n">
        <v>4.36</v>
      </c>
      <c r="E138" s="1" t="n">
        <v>4</v>
      </c>
      <c r="F138" s="1" t="n">
        <v>1</v>
      </c>
      <c r="G138" s="1" t="n">
        <v>17.44</v>
      </c>
      <c r="H138" s="1" t="s">
        <v>264</v>
      </c>
    </row>
    <row r="139" customFormat="false" ht="15" hidden="false" customHeight="true" outlineLevel="0" collapsed="false">
      <c r="A139" s="1" t="s">
        <v>17</v>
      </c>
      <c r="B139" s="1" t="s">
        <v>207</v>
      </c>
      <c r="C139" s="1" t="s">
        <v>164</v>
      </c>
      <c r="D139" s="1" t="n">
        <v>6.66</v>
      </c>
      <c r="E139" s="1" t="n">
        <v>3</v>
      </c>
      <c r="F139" s="1" t="n">
        <v>1</v>
      </c>
      <c r="G139" s="1" t="n">
        <v>19.98</v>
      </c>
      <c r="H139" s="1" t="s">
        <v>265</v>
      </c>
    </row>
    <row r="140" customFormat="false" ht="15" hidden="false" customHeight="true" outlineLevel="0" collapsed="false">
      <c r="A140" s="1" t="s">
        <v>17</v>
      </c>
      <c r="B140" s="1" t="s">
        <v>170</v>
      </c>
      <c r="C140" s="1" t="s">
        <v>164</v>
      </c>
      <c r="D140" s="1" t="n">
        <v>2.7</v>
      </c>
      <c r="E140" s="1" t="n">
        <v>2.5</v>
      </c>
      <c r="F140" s="1" t="n">
        <v>1</v>
      </c>
      <c r="G140" s="1" t="n">
        <v>6.75</v>
      </c>
      <c r="H140" s="1" t="s">
        <v>266</v>
      </c>
    </row>
    <row r="141" customFormat="false" ht="15" hidden="false" customHeight="true" outlineLevel="0" collapsed="false">
      <c r="A141" s="1" t="s">
        <v>17</v>
      </c>
      <c r="B141" s="1" t="s">
        <v>172</v>
      </c>
      <c r="C141" s="1" t="s">
        <v>157</v>
      </c>
      <c r="D141" s="1" t="n">
        <v>6.45</v>
      </c>
      <c r="E141" s="1" t="n">
        <v>0.5</v>
      </c>
      <c r="F141" s="1" t="n">
        <v>1</v>
      </c>
      <c r="G141" s="1" t="n">
        <v>3.22</v>
      </c>
      <c r="H141" s="1" t="s">
        <v>107</v>
      </c>
    </row>
    <row r="142" customFormat="false" ht="15" hidden="false" customHeight="true" outlineLevel="0" collapsed="false">
      <c r="A142" s="1" t="s">
        <v>17</v>
      </c>
      <c r="B142" s="1" t="s">
        <v>187</v>
      </c>
      <c r="C142" s="1" t="s">
        <v>157</v>
      </c>
      <c r="D142" s="1" t="n">
        <v>1.18</v>
      </c>
      <c r="E142" s="1" t="n">
        <v>0.5</v>
      </c>
      <c r="F142" s="1" t="n">
        <v>1</v>
      </c>
      <c r="G142" s="1" t="n">
        <v>0.59</v>
      </c>
      <c r="H142" s="1" t="s">
        <v>105</v>
      </c>
    </row>
    <row r="143" customFormat="false" ht="15" hidden="false" customHeight="true" outlineLevel="0" collapsed="false">
      <c r="A143" s="1" t="s">
        <v>17</v>
      </c>
      <c r="B143" s="1" t="s">
        <v>174</v>
      </c>
      <c r="C143" s="1" t="s">
        <v>157</v>
      </c>
      <c r="D143" s="1" t="n">
        <v>6.86</v>
      </c>
      <c r="E143" s="1" t="n">
        <v>1</v>
      </c>
      <c r="F143" s="1" t="n">
        <v>2</v>
      </c>
      <c r="G143" s="1" t="n">
        <v>13.71</v>
      </c>
      <c r="H143" s="1" t="s">
        <v>108</v>
      </c>
    </row>
    <row r="144" customFormat="false" ht="15" hidden="false" customHeight="true" outlineLevel="0" collapsed="false">
      <c r="A144" s="1" t="s">
        <v>17</v>
      </c>
      <c r="B144" s="1" t="s">
        <v>175</v>
      </c>
      <c r="C144" s="1" t="s">
        <v>157</v>
      </c>
      <c r="D144" s="1" t="n">
        <v>1.18</v>
      </c>
      <c r="E144" s="1" t="n">
        <v>1.5</v>
      </c>
      <c r="F144" s="1" t="n">
        <v>2</v>
      </c>
      <c r="G144" s="1" t="n">
        <v>3.54</v>
      </c>
      <c r="H144" s="1" t="s">
        <v>106</v>
      </c>
    </row>
    <row r="145" customFormat="false" ht="15" hidden="false" customHeight="true" outlineLevel="0" collapsed="false">
      <c r="A145" s="1" t="s">
        <v>19</v>
      </c>
      <c r="B145" s="1" t="s">
        <v>267</v>
      </c>
      <c r="C145" s="1" t="s">
        <v>164</v>
      </c>
      <c r="D145" s="1" t="n">
        <v>16.2</v>
      </c>
      <c r="E145" s="1" t="n">
        <v>2</v>
      </c>
      <c r="F145" s="1" t="n">
        <v>1</v>
      </c>
      <c r="G145" s="1" t="n">
        <v>32.4</v>
      </c>
      <c r="H145" s="1" t="s">
        <v>268</v>
      </c>
    </row>
    <row r="146" customFormat="false" ht="15" hidden="false" customHeight="true" outlineLevel="0" collapsed="false">
      <c r="A146" s="1" t="s">
        <v>19</v>
      </c>
      <c r="B146" s="1" t="s">
        <v>269</v>
      </c>
      <c r="C146" s="1" t="s">
        <v>164</v>
      </c>
      <c r="D146" s="1" t="n">
        <v>12.13</v>
      </c>
      <c r="E146" s="1" t="n">
        <v>2.5</v>
      </c>
      <c r="F146" s="1" t="n">
        <v>1</v>
      </c>
      <c r="G146" s="1" t="n">
        <v>30.32</v>
      </c>
      <c r="H146" s="1" t="s">
        <v>270</v>
      </c>
    </row>
    <row r="147" customFormat="false" ht="15" hidden="false" customHeight="true" outlineLevel="0" collapsed="false">
      <c r="A147" s="1" t="s">
        <v>19</v>
      </c>
      <c r="B147" s="1" t="s">
        <v>271</v>
      </c>
      <c r="C147" s="1" t="s">
        <v>164</v>
      </c>
      <c r="D147" s="1" t="n">
        <v>21.6</v>
      </c>
      <c r="E147" s="1" t="n">
        <v>3</v>
      </c>
      <c r="F147" s="1" t="n">
        <v>1</v>
      </c>
      <c r="G147" s="1" t="n">
        <v>64.8</v>
      </c>
      <c r="H147" s="1" t="s">
        <v>272</v>
      </c>
    </row>
    <row r="148" customFormat="false" ht="15" hidden="false" customHeight="true" outlineLevel="0" collapsed="false">
      <c r="A148" s="1" t="s">
        <v>19</v>
      </c>
      <c r="B148" s="1" t="s">
        <v>196</v>
      </c>
      <c r="C148" s="1" t="s">
        <v>164</v>
      </c>
      <c r="D148" s="1" t="n">
        <v>5.63</v>
      </c>
      <c r="E148" s="1" t="n">
        <v>10</v>
      </c>
      <c r="F148" s="1" t="n">
        <v>1</v>
      </c>
      <c r="G148" s="1" t="n">
        <v>56.3</v>
      </c>
      <c r="H148" s="1" t="s">
        <v>273</v>
      </c>
    </row>
    <row r="149" customFormat="false" ht="15" hidden="false" customHeight="true" outlineLevel="0" collapsed="false">
      <c r="A149" s="1" t="s">
        <v>19</v>
      </c>
      <c r="B149" s="1" t="s">
        <v>172</v>
      </c>
      <c r="C149" s="1" t="s">
        <v>157</v>
      </c>
      <c r="D149" s="1" t="n">
        <v>40.78</v>
      </c>
      <c r="E149" s="1" t="n">
        <v>0.5</v>
      </c>
      <c r="F149" s="1" t="n">
        <v>1</v>
      </c>
      <c r="G149" s="1" t="n">
        <v>20.39</v>
      </c>
      <c r="H149" s="1" t="s">
        <v>274</v>
      </c>
    </row>
    <row r="150" customFormat="false" ht="15" hidden="false" customHeight="true" outlineLevel="0" collapsed="false">
      <c r="A150" s="1" t="s">
        <v>19</v>
      </c>
      <c r="B150" s="1" t="s">
        <v>174</v>
      </c>
      <c r="C150" s="1" t="s">
        <v>157</v>
      </c>
      <c r="D150" s="1" t="n">
        <v>1.69</v>
      </c>
      <c r="E150" s="1" t="n">
        <v>1</v>
      </c>
      <c r="F150" s="1" t="n">
        <v>2</v>
      </c>
      <c r="G150" s="1" t="n">
        <v>3.38</v>
      </c>
      <c r="H150" s="1" t="s">
        <v>79</v>
      </c>
    </row>
    <row r="151" customFormat="false" ht="15" hidden="false" customHeight="true" outlineLevel="0" collapsed="false">
      <c r="A151" s="1" t="s">
        <v>19</v>
      </c>
      <c r="B151" s="1" t="s">
        <v>168</v>
      </c>
      <c r="C151" s="1" t="s">
        <v>157</v>
      </c>
      <c r="D151" s="1" t="n">
        <v>6.82</v>
      </c>
      <c r="E151" s="1" t="n">
        <v>3</v>
      </c>
      <c r="F151" s="1" t="n">
        <v>1</v>
      </c>
      <c r="G151" s="1" t="n">
        <v>20.46</v>
      </c>
      <c r="H151" s="1" t="s">
        <v>275</v>
      </c>
    </row>
    <row r="152" customFormat="false" ht="15" hidden="false" customHeight="true" outlineLevel="0" collapsed="false">
      <c r="A152" s="1" t="s">
        <v>19</v>
      </c>
      <c r="B152" s="1" t="s">
        <v>276</v>
      </c>
      <c r="C152" s="1" t="s">
        <v>157</v>
      </c>
      <c r="D152" s="1" t="n">
        <v>6.82</v>
      </c>
      <c r="E152" s="1" t="n">
        <v>3</v>
      </c>
      <c r="F152" s="1" t="n">
        <v>1</v>
      </c>
      <c r="G152" s="1" t="n">
        <v>20.46</v>
      </c>
      <c r="H152" s="1" t="s">
        <v>277</v>
      </c>
    </row>
    <row r="153" customFormat="false" ht="15" hidden="false" customHeight="true" outlineLevel="0" collapsed="false">
      <c r="A153" s="1" t="s">
        <v>19</v>
      </c>
      <c r="B153" s="1" t="s">
        <v>238</v>
      </c>
      <c r="C153" s="1" t="s">
        <v>157</v>
      </c>
      <c r="D153" s="1" t="n">
        <v>2.53</v>
      </c>
      <c r="E153" s="1" t="n">
        <v>4</v>
      </c>
      <c r="F153" s="1" t="n">
        <v>1</v>
      </c>
      <c r="G153" s="1" t="n">
        <v>10.13</v>
      </c>
      <c r="H153" s="1" t="s">
        <v>278</v>
      </c>
    </row>
    <row r="154" customFormat="false" ht="15" hidden="false" customHeight="true" outlineLevel="0" collapsed="false">
      <c r="A154" s="1" t="s">
        <v>19</v>
      </c>
      <c r="B154" s="1" t="s">
        <v>238</v>
      </c>
      <c r="C154" s="1" t="s">
        <v>157</v>
      </c>
      <c r="D154" s="1" t="n">
        <v>2.53</v>
      </c>
      <c r="E154" s="1" t="n">
        <v>0.5</v>
      </c>
      <c r="F154" s="1" t="n">
        <v>1</v>
      </c>
      <c r="G154" s="1" t="n">
        <v>1.27</v>
      </c>
      <c r="H154" s="1" t="s">
        <v>279</v>
      </c>
    </row>
    <row r="155" customFormat="false" ht="15" hidden="false" customHeight="true" outlineLevel="0" collapsed="false">
      <c r="A155" s="1" t="s">
        <v>19</v>
      </c>
      <c r="B155" s="1" t="s">
        <v>163</v>
      </c>
      <c r="C155" s="1" t="s">
        <v>164</v>
      </c>
      <c r="D155" s="1" t="n">
        <v>6.2</v>
      </c>
      <c r="E155" s="1" t="n">
        <v>2</v>
      </c>
      <c r="F155" s="1" t="n">
        <v>1</v>
      </c>
      <c r="G155" s="1" t="n">
        <v>12.4</v>
      </c>
      <c r="H155" s="1" t="s">
        <v>280</v>
      </c>
    </row>
    <row r="156" customFormat="false" ht="15" hidden="false" customHeight="true" outlineLevel="0" collapsed="false">
      <c r="A156" s="1" t="s">
        <v>19</v>
      </c>
      <c r="B156" s="1" t="s">
        <v>174</v>
      </c>
      <c r="C156" s="1" t="s">
        <v>157</v>
      </c>
      <c r="D156" s="1" t="n">
        <v>41.63</v>
      </c>
      <c r="E156" s="1" t="n">
        <v>1</v>
      </c>
      <c r="F156" s="1" t="n">
        <v>1</v>
      </c>
      <c r="G156" s="1" t="n">
        <v>41.63</v>
      </c>
      <c r="H156" s="1" t="s">
        <v>281</v>
      </c>
    </row>
    <row r="157" customFormat="false" ht="15" hidden="false" customHeight="true" outlineLevel="0" collapsed="false">
      <c r="A157" s="1" t="s">
        <v>20</v>
      </c>
      <c r="B157" s="1" t="s">
        <v>238</v>
      </c>
      <c r="C157" s="1" t="s">
        <v>157</v>
      </c>
      <c r="D157" s="1" t="n">
        <v>25.77</v>
      </c>
      <c r="E157" s="1" t="n">
        <v>4</v>
      </c>
      <c r="F157" s="1" t="n">
        <v>1</v>
      </c>
      <c r="G157" s="1" t="n">
        <v>103.09</v>
      </c>
      <c r="H157" s="1" t="s">
        <v>282</v>
      </c>
    </row>
    <row r="158" customFormat="false" ht="15" hidden="false" customHeight="true" outlineLevel="0" collapsed="false">
      <c r="A158" s="1" t="s">
        <v>20</v>
      </c>
      <c r="B158" s="1" t="s">
        <v>163</v>
      </c>
      <c r="C158" s="1" t="s">
        <v>164</v>
      </c>
      <c r="D158" s="1" t="n">
        <v>23.05</v>
      </c>
      <c r="E158" s="1" t="n">
        <v>2</v>
      </c>
      <c r="F158" s="1" t="n">
        <v>1</v>
      </c>
      <c r="G158" s="1" t="n">
        <v>46.1</v>
      </c>
      <c r="H158" s="1" t="s">
        <v>283</v>
      </c>
    </row>
    <row r="159" customFormat="false" ht="15" hidden="false" customHeight="true" outlineLevel="0" collapsed="false">
      <c r="A159" s="1" t="s">
        <v>20</v>
      </c>
      <c r="B159" s="1" t="s">
        <v>215</v>
      </c>
      <c r="D159" s="1" t="n">
        <v>23.05</v>
      </c>
      <c r="E159" s="1" t="n">
        <v>3</v>
      </c>
      <c r="F159" s="1" t="n">
        <v>1</v>
      </c>
      <c r="G159" s="1" t="n">
        <v>69.15</v>
      </c>
      <c r="H159" s="1" t="s">
        <v>284</v>
      </c>
    </row>
    <row r="160" customFormat="false" ht="15" hidden="false" customHeight="true" outlineLevel="0" collapsed="false">
      <c r="A160" s="1" t="s">
        <v>20</v>
      </c>
      <c r="B160" s="1" t="s">
        <v>172</v>
      </c>
      <c r="C160" s="1" t="s">
        <v>157</v>
      </c>
      <c r="D160" s="1" t="n">
        <v>52.06</v>
      </c>
      <c r="E160" s="1" t="n">
        <v>0.5</v>
      </c>
      <c r="F160" s="1" t="n">
        <v>1</v>
      </c>
      <c r="G160" s="1" t="n">
        <v>26.03</v>
      </c>
      <c r="H160" s="1" t="s">
        <v>285</v>
      </c>
    </row>
    <row r="161" customFormat="false" ht="15" hidden="false" customHeight="true" outlineLevel="0" collapsed="false">
      <c r="A161" s="1" t="s">
        <v>20</v>
      </c>
      <c r="B161" s="1" t="s">
        <v>174</v>
      </c>
      <c r="C161" s="1" t="s">
        <v>157</v>
      </c>
      <c r="D161" s="1" t="n">
        <v>52.06</v>
      </c>
      <c r="E161" s="1" t="n">
        <v>1</v>
      </c>
      <c r="F161" s="1" t="n">
        <v>1</v>
      </c>
      <c r="G161" s="1" t="n">
        <v>52.06</v>
      </c>
      <c r="H161" s="1" t="s">
        <v>286</v>
      </c>
    </row>
    <row r="162" customFormat="false" ht="15" hidden="false" customHeight="true" outlineLevel="0" collapsed="false">
      <c r="A162" s="1" t="s">
        <v>20</v>
      </c>
      <c r="B162" s="1" t="s">
        <v>287</v>
      </c>
      <c r="C162" s="1" t="s">
        <v>157</v>
      </c>
      <c r="D162" s="1" t="n">
        <v>26.29</v>
      </c>
      <c r="E162" s="1" t="n">
        <v>2</v>
      </c>
      <c r="F162" s="1" t="n">
        <v>1</v>
      </c>
      <c r="G162" s="1" t="n">
        <v>52.58</v>
      </c>
      <c r="H162" s="1" t="s">
        <v>288</v>
      </c>
    </row>
    <row r="163" customFormat="false" ht="15" hidden="false" customHeight="true" outlineLevel="0" collapsed="false">
      <c r="A163" s="1" t="s">
        <v>20</v>
      </c>
      <c r="B163" s="1" t="s">
        <v>287</v>
      </c>
      <c r="C163" s="1" t="s">
        <v>164</v>
      </c>
      <c r="D163" s="1" t="n">
        <v>0.34</v>
      </c>
      <c r="E163" s="1" t="n">
        <v>2</v>
      </c>
      <c r="F163" s="1" t="n">
        <v>1</v>
      </c>
      <c r="G163" s="1" t="n">
        <v>0.69</v>
      </c>
      <c r="H163" s="1" t="s">
        <v>289</v>
      </c>
    </row>
    <row r="164" customFormat="false" ht="15" hidden="false" customHeight="true" outlineLevel="0" collapsed="false">
      <c r="A164" s="1" t="s">
        <v>20</v>
      </c>
      <c r="B164" s="1" t="s">
        <v>231</v>
      </c>
      <c r="C164" s="1" t="s">
        <v>157</v>
      </c>
      <c r="D164" s="1" t="n">
        <v>25.77</v>
      </c>
      <c r="E164" s="1" t="n">
        <v>3</v>
      </c>
      <c r="F164" s="1" t="n">
        <v>1</v>
      </c>
      <c r="G164" s="1" t="n">
        <v>77.31</v>
      </c>
      <c r="H164" s="1" t="s">
        <v>290</v>
      </c>
    </row>
    <row r="165" customFormat="false" ht="15" hidden="false" customHeight="true" outlineLevel="0" collapsed="false">
      <c r="A165" s="1" t="s">
        <v>20</v>
      </c>
      <c r="B165" s="1" t="s">
        <v>291</v>
      </c>
      <c r="C165" s="1" t="s">
        <v>157</v>
      </c>
      <c r="D165" s="1" t="n">
        <v>0.52</v>
      </c>
      <c r="E165" s="1" t="n">
        <v>3</v>
      </c>
      <c r="F165" s="1" t="n">
        <v>1</v>
      </c>
      <c r="G165" s="1" t="n">
        <v>1.56</v>
      </c>
      <c r="H165" s="1" t="s">
        <v>292</v>
      </c>
    </row>
    <row r="166" customFormat="false" ht="15" hidden="false" customHeight="true" outlineLevel="0" collapsed="false">
      <c r="A166" s="1" t="s">
        <v>20</v>
      </c>
      <c r="B166" s="1" t="s">
        <v>269</v>
      </c>
      <c r="C166" s="1" t="s">
        <v>164</v>
      </c>
      <c r="D166" s="1" t="n">
        <v>1</v>
      </c>
      <c r="E166" s="1" t="n">
        <v>2.5</v>
      </c>
      <c r="F166" s="1" t="n">
        <v>1</v>
      </c>
      <c r="G166" s="1" t="n">
        <v>2.5</v>
      </c>
      <c r="H166" s="1" t="s">
        <v>293</v>
      </c>
    </row>
    <row r="167" customFormat="false" ht="15" hidden="false" customHeight="true" outlineLevel="0" collapsed="false">
      <c r="A167" s="1" t="s">
        <v>20</v>
      </c>
      <c r="B167" s="1" t="s">
        <v>267</v>
      </c>
      <c r="C167" s="1" t="s">
        <v>164</v>
      </c>
      <c r="D167" s="1" t="n">
        <v>1.08</v>
      </c>
      <c r="E167" s="1" t="n">
        <v>2</v>
      </c>
      <c r="F167" s="1" t="n">
        <v>1</v>
      </c>
      <c r="G167" s="1" t="n">
        <v>2.16</v>
      </c>
      <c r="H167" s="1" t="s">
        <v>294</v>
      </c>
    </row>
    <row r="168" customFormat="false" ht="15" hidden="false" customHeight="true" outlineLevel="0" collapsed="false">
      <c r="A168" s="1" t="s">
        <v>21</v>
      </c>
      <c r="B168" s="1" t="s">
        <v>261</v>
      </c>
      <c r="C168" s="1" t="s">
        <v>164</v>
      </c>
      <c r="D168" s="1" t="n">
        <v>5.04</v>
      </c>
      <c r="E168" s="1" t="n">
        <v>9</v>
      </c>
      <c r="F168" s="1" t="n">
        <v>1</v>
      </c>
      <c r="G168" s="1" t="n">
        <v>45.31</v>
      </c>
      <c r="H168" s="1" t="s">
        <v>295</v>
      </c>
    </row>
    <row r="169" customFormat="false" ht="15" hidden="false" customHeight="true" outlineLevel="0" collapsed="false">
      <c r="A169" s="1" t="s">
        <v>21</v>
      </c>
      <c r="B169" s="1" t="s">
        <v>163</v>
      </c>
      <c r="C169" s="1" t="s">
        <v>164</v>
      </c>
      <c r="D169" s="1" t="n">
        <v>8</v>
      </c>
      <c r="E169" s="1" t="n">
        <v>2</v>
      </c>
      <c r="F169" s="1" t="n">
        <v>1</v>
      </c>
      <c r="G169" s="1" t="n">
        <v>16</v>
      </c>
      <c r="H169" s="1" t="s">
        <v>296</v>
      </c>
    </row>
    <row r="170" customFormat="false" ht="15" hidden="false" customHeight="true" outlineLevel="0" collapsed="false">
      <c r="A170" s="1" t="s">
        <v>21</v>
      </c>
      <c r="B170" s="1" t="s">
        <v>215</v>
      </c>
      <c r="C170" s="1" t="s">
        <v>164</v>
      </c>
      <c r="D170" s="1" t="n">
        <v>8</v>
      </c>
      <c r="E170" s="1" t="n">
        <v>3</v>
      </c>
      <c r="F170" s="1" t="n">
        <v>1</v>
      </c>
      <c r="G170" s="1" t="n">
        <v>24</v>
      </c>
      <c r="H170" s="1" t="s">
        <v>297</v>
      </c>
    </row>
    <row r="171" customFormat="false" ht="15" hidden="false" customHeight="true" outlineLevel="0" collapsed="false">
      <c r="A171" s="1" t="s">
        <v>21</v>
      </c>
      <c r="B171" s="1" t="s">
        <v>172</v>
      </c>
      <c r="C171" s="1" t="s">
        <v>157</v>
      </c>
      <c r="D171" s="1" t="n">
        <v>10.07</v>
      </c>
      <c r="E171" s="1" t="n">
        <v>0.5</v>
      </c>
      <c r="F171" s="1" t="n">
        <v>1</v>
      </c>
      <c r="G171" s="1" t="n">
        <v>5.04</v>
      </c>
      <c r="H171" s="1" t="s">
        <v>298</v>
      </c>
    </row>
    <row r="172" customFormat="false" ht="15" hidden="false" customHeight="true" outlineLevel="0" collapsed="false">
      <c r="A172" s="1" t="s">
        <v>21</v>
      </c>
      <c r="B172" s="1" t="s">
        <v>174</v>
      </c>
      <c r="C172" s="1" t="s">
        <v>157</v>
      </c>
      <c r="D172" s="1" t="n">
        <v>10.07</v>
      </c>
      <c r="E172" s="1" t="n">
        <v>1</v>
      </c>
      <c r="F172" s="1" t="n">
        <v>1</v>
      </c>
      <c r="G172" s="1" t="n">
        <v>10.07</v>
      </c>
      <c r="H172" s="1" t="s">
        <v>299</v>
      </c>
    </row>
    <row r="173" customFormat="false" ht="15" hidden="false" customHeight="true" outlineLevel="0" collapsed="false">
      <c r="A173" s="1" t="s">
        <v>21</v>
      </c>
      <c r="B173" s="1" t="s">
        <v>287</v>
      </c>
      <c r="C173" s="1" t="s">
        <v>157</v>
      </c>
      <c r="D173" s="1" t="n">
        <v>5.04</v>
      </c>
      <c r="E173" s="1" t="n">
        <v>2</v>
      </c>
      <c r="F173" s="1" t="n">
        <v>1</v>
      </c>
      <c r="G173" s="1" t="n">
        <v>10.07</v>
      </c>
      <c r="H173" s="1" t="s">
        <v>300</v>
      </c>
    </row>
    <row r="174" customFormat="false" ht="15" hidden="false" customHeight="true" outlineLevel="0" collapsed="false">
      <c r="A174" s="1" t="s">
        <v>21</v>
      </c>
      <c r="B174" s="1" t="s">
        <v>231</v>
      </c>
      <c r="C174" s="1" t="s">
        <v>157</v>
      </c>
      <c r="D174" s="1" t="n">
        <v>5.04</v>
      </c>
      <c r="E174" s="1" t="n">
        <v>3</v>
      </c>
      <c r="F174" s="1" t="n">
        <v>1</v>
      </c>
      <c r="G174" s="1" t="n">
        <v>15.11</v>
      </c>
      <c r="H174" s="1" t="s">
        <v>301</v>
      </c>
    </row>
    <row r="175" customFormat="false" ht="15" hidden="false" customHeight="true" outlineLevel="0" collapsed="false">
      <c r="A175" s="1" t="s">
        <v>22</v>
      </c>
      <c r="B175" s="1" t="s">
        <v>261</v>
      </c>
      <c r="C175" s="1" t="s">
        <v>157</v>
      </c>
      <c r="D175" s="1" t="n">
        <v>15.99</v>
      </c>
      <c r="E175" s="1" t="n">
        <v>9</v>
      </c>
      <c r="F175" s="1" t="n">
        <v>1</v>
      </c>
      <c r="G175" s="1" t="n">
        <v>143.87</v>
      </c>
      <c r="H175" s="1" t="s">
        <v>302</v>
      </c>
    </row>
    <row r="176" customFormat="false" ht="15" hidden="false" customHeight="true" outlineLevel="0" collapsed="false">
      <c r="A176" s="1" t="s">
        <v>22</v>
      </c>
      <c r="B176" s="1" t="s">
        <v>215</v>
      </c>
      <c r="C176" s="1" t="s">
        <v>164</v>
      </c>
      <c r="D176" s="1" t="n">
        <v>11.52</v>
      </c>
      <c r="E176" s="1" t="n">
        <v>3</v>
      </c>
      <c r="F176" s="1" t="n">
        <v>1</v>
      </c>
      <c r="G176" s="1" t="n">
        <v>34.56</v>
      </c>
      <c r="H176" s="1" t="s">
        <v>303</v>
      </c>
    </row>
    <row r="177" customFormat="false" ht="15" hidden="false" customHeight="true" outlineLevel="0" collapsed="false">
      <c r="A177" s="1" t="s">
        <v>22</v>
      </c>
      <c r="B177" s="1" t="s">
        <v>174</v>
      </c>
      <c r="C177" s="1" t="s">
        <v>157</v>
      </c>
      <c r="D177" s="1" t="n">
        <v>32.9</v>
      </c>
      <c r="E177" s="1" t="n">
        <v>1</v>
      </c>
      <c r="F177" s="1" t="n">
        <v>2</v>
      </c>
      <c r="G177" s="1" t="n">
        <v>65.79</v>
      </c>
      <c r="H177" s="1" t="s">
        <v>75</v>
      </c>
    </row>
    <row r="178" customFormat="false" ht="15" hidden="false" customHeight="true" outlineLevel="0" collapsed="false">
      <c r="A178" s="1" t="s">
        <v>22</v>
      </c>
      <c r="B178" s="1" t="s">
        <v>178</v>
      </c>
      <c r="C178" s="1" t="s">
        <v>179</v>
      </c>
      <c r="D178" s="1" t="n">
        <v>5</v>
      </c>
      <c r="E178" s="1" t="n">
        <v>15</v>
      </c>
      <c r="F178" s="1" t="n">
        <v>1</v>
      </c>
      <c r="G178" s="1" t="n">
        <v>75</v>
      </c>
      <c r="H178" s="1" t="s">
        <v>304</v>
      </c>
    </row>
    <row r="179" customFormat="false" ht="15" hidden="false" customHeight="true" outlineLevel="0" collapsed="false">
      <c r="A179" s="1" t="s">
        <v>22</v>
      </c>
      <c r="B179" s="1" t="s">
        <v>258</v>
      </c>
      <c r="C179" s="1" t="s">
        <v>164</v>
      </c>
      <c r="D179" s="1" t="n">
        <v>35.27</v>
      </c>
      <c r="E179" s="1" t="n">
        <v>10</v>
      </c>
      <c r="F179" s="1" t="n">
        <v>1</v>
      </c>
      <c r="G179" s="1" t="n">
        <v>352.7</v>
      </c>
      <c r="H179" s="1" t="s">
        <v>305</v>
      </c>
    </row>
    <row r="180" customFormat="false" ht="15" hidden="false" customHeight="true" outlineLevel="0" collapsed="false">
      <c r="A180" s="1" t="s">
        <v>22</v>
      </c>
      <c r="B180" s="1" t="s">
        <v>170</v>
      </c>
      <c r="C180" s="1" t="s">
        <v>164</v>
      </c>
      <c r="D180" s="1" t="n">
        <v>35.43</v>
      </c>
      <c r="E180" s="1" t="n">
        <v>2.5</v>
      </c>
      <c r="F180" s="1" t="n">
        <v>1</v>
      </c>
      <c r="G180" s="1" t="n">
        <v>88.58</v>
      </c>
      <c r="H180" s="1" t="s">
        <v>306</v>
      </c>
    </row>
    <row r="181" customFormat="false" ht="15" hidden="false" customHeight="true" outlineLevel="0" collapsed="false">
      <c r="A181" s="1" t="s">
        <v>22</v>
      </c>
      <c r="B181" s="1" t="s">
        <v>307</v>
      </c>
      <c r="C181" s="1" t="s">
        <v>164</v>
      </c>
      <c r="D181" s="1" t="n">
        <v>18.48</v>
      </c>
      <c r="E181" s="1" t="n">
        <v>2</v>
      </c>
      <c r="F181" s="1" t="n">
        <v>1</v>
      </c>
      <c r="G181" s="1" t="n">
        <v>36.96</v>
      </c>
      <c r="H181" s="1" t="s">
        <v>308</v>
      </c>
    </row>
    <row r="182" customFormat="false" ht="15" hidden="false" customHeight="true" outlineLevel="0" collapsed="false">
      <c r="A182" s="1" t="s">
        <v>22</v>
      </c>
      <c r="B182" s="1" t="s">
        <v>172</v>
      </c>
      <c r="C182" s="1" t="s">
        <v>157</v>
      </c>
      <c r="D182" s="1" t="n">
        <v>32.9</v>
      </c>
      <c r="E182" s="1" t="n">
        <v>0.5</v>
      </c>
      <c r="F182" s="1" t="n">
        <v>1</v>
      </c>
      <c r="G182" s="1" t="n">
        <v>16.45</v>
      </c>
      <c r="H182" s="1" t="s">
        <v>74</v>
      </c>
    </row>
    <row r="183" customFormat="false" ht="15" hidden="false" customHeight="true" outlineLevel="0" collapsed="false">
      <c r="A183" s="1" t="s">
        <v>23</v>
      </c>
      <c r="B183" s="1" t="s">
        <v>205</v>
      </c>
      <c r="C183" s="1" t="s">
        <v>157</v>
      </c>
      <c r="D183" s="1" t="n">
        <v>2</v>
      </c>
      <c r="E183" s="1" t="n">
        <v>4</v>
      </c>
      <c r="F183" s="1" t="n">
        <v>1</v>
      </c>
      <c r="G183" s="1" t="n">
        <v>8</v>
      </c>
      <c r="H183" s="1" t="s">
        <v>309</v>
      </c>
    </row>
    <row r="184" customFormat="false" ht="15" hidden="false" customHeight="true" outlineLevel="0" collapsed="false">
      <c r="A184" s="1" t="s">
        <v>23</v>
      </c>
      <c r="B184" s="1" t="s">
        <v>205</v>
      </c>
      <c r="C184" s="1" t="s">
        <v>164</v>
      </c>
      <c r="D184" s="1" t="n">
        <v>26.27</v>
      </c>
      <c r="E184" s="1" t="n">
        <v>4</v>
      </c>
      <c r="F184" s="1" t="n">
        <v>1</v>
      </c>
      <c r="G184" s="1" t="n">
        <v>105.08</v>
      </c>
      <c r="H184" s="1" t="s">
        <v>310</v>
      </c>
    </row>
    <row r="185" customFormat="false" ht="15" hidden="false" customHeight="true" outlineLevel="0" collapsed="false">
      <c r="A185" s="1" t="s">
        <v>23</v>
      </c>
      <c r="B185" s="1" t="s">
        <v>187</v>
      </c>
      <c r="C185" s="1" t="s">
        <v>157</v>
      </c>
      <c r="D185" s="1" t="n">
        <v>24.36</v>
      </c>
      <c r="E185" s="1" t="n">
        <v>0.5</v>
      </c>
      <c r="F185" s="1" t="n">
        <v>1</v>
      </c>
      <c r="G185" s="1" t="n">
        <v>12.18</v>
      </c>
      <c r="H185" s="1" t="s">
        <v>72</v>
      </c>
    </row>
    <row r="186" customFormat="false" ht="15" hidden="false" customHeight="true" outlineLevel="0" collapsed="false">
      <c r="A186" s="1" t="s">
        <v>23</v>
      </c>
      <c r="B186" s="1" t="s">
        <v>175</v>
      </c>
      <c r="C186" s="1" t="s">
        <v>157</v>
      </c>
      <c r="D186" s="1" t="n">
        <v>24.36</v>
      </c>
      <c r="E186" s="1" t="n">
        <v>1.5</v>
      </c>
      <c r="F186" s="1" t="n">
        <v>2</v>
      </c>
      <c r="G186" s="1" t="n">
        <v>73.08</v>
      </c>
      <c r="H186" s="1" t="s">
        <v>73</v>
      </c>
    </row>
    <row r="187" customFormat="false" ht="15" hidden="false" customHeight="true" outlineLevel="0" collapsed="false">
      <c r="A187" s="1" t="s">
        <v>24</v>
      </c>
      <c r="B187" s="1" t="s">
        <v>209</v>
      </c>
      <c r="C187" s="1" t="s">
        <v>157</v>
      </c>
      <c r="D187" s="1" t="n">
        <v>2.05</v>
      </c>
      <c r="E187" s="1" t="n">
        <v>6.5</v>
      </c>
      <c r="F187" s="1" t="n">
        <v>1</v>
      </c>
      <c r="G187" s="1" t="n">
        <v>13.34</v>
      </c>
      <c r="H187" s="1" t="s">
        <v>311</v>
      </c>
    </row>
    <row r="188" customFormat="false" ht="15" hidden="false" customHeight="true" outlineLevel="0" collapsed="false">
      <c r="A188" s="1" t="s">
        <v>24</v>
      </c>
      <c r="B188" s="1" t="s">
        <v>312</v>
      </c>
      <c r="C188" s="1" t="s">
        <v>164</v>
      </c>
      <c r="D188" s="1" t="n">
        <v>5.05</v>
      </c>
      <c r="E188" s="1" t="n">
        <v>2.5</v>
      </c>
      <c r="F188" s="1" t="n">
        <v>1</v>
      </c>
      <c r="G188" s="1" t="n">
        <v>12.62</v>
      </c>
      <c r="H188" s="1" t="s">
        <v>313</v>
      </c>
    </row>
    <row r="189" customFormat="false" ht="15" hidden="false" customHeight="true" outlineLevel="0" collapsed="false">
      <c r="A189" s="1" t="s">
        <v>24</v>
      </c>
      <c r="B189" s="1" t="s">
        <v>314</v>
      </c>
      <c r="C189" s="1" t="s">
        <v>164</v>
      </c>
      <c r="D189" s="1" t="n">
        <v>2.95</v>
      </c>
      <c r="E189" s="1" t="n">
        <v>2</v>
      </c>
      <c r="F189" s="1" t="n">
        <v>1</v>
      </c>
      <c r="G189" s="1" t="n">
        <v>5.9</v>
      </c>
      <c r="H189" s="1" t="s">
        <v>315</v>
      </c>
    </row>
    <row r="190" customFormat="false" ht="15" hidden="false" customHeight="true" outlineLevel="0" collapsed="false">
      <c r="A190" s="1" t="s">
        <v>24</v>
      </c>
      <c r="B190" s="1" t="s">
        <v>316</v>
      </c>
      <c r="C190" s="1" t="s">
        <v>157</v>
      </c>
      <c r="D190" s="1" t="n">
        <v>2.05</v>
      </c>
      <c r="E190" s="1" t="n">
        <v>0.5</v>
      </c>
      <c r="F190" s="1" t="n">
        <v>1</v>
      </c>
      <c r="G190" s="1" t="n">
        <v>1.03</v>
      </c>
      <c r="H190" s="1" t="s">
        <v>70</v>
      </c>
    </row>
    <row r="191" customFormat="false" ht="15" hidden="false" customHeight="true" outlineLevel="0" collapsed="false">
      <c r="A191" s="1" t="s">
        <v>24</v>
      </c>
      <c r="B191" s="1" t="s">
        <v>317</v>
      </c>
      <c r="C191" s="1" t="s">
        <v>157</v>
      </c>
      <c r="D191" s="1" t="n">
        <v>2.05</v>
      </c>
      <c r="E191" s="1" t="n">
        <v>1</v>
      </c>
      <c r="F191" s="1" t="n">
        <v>2</v>
      </c>
      <c r="G191" s="1" t="n">
        <v>4.1</v>
      </c>
      <c r="H191" s="1" t="s">
        <v>71</v>
      </c>
    </row>
    <row r="192" customFormat="false" ht="15" hidden="false" customHeight="true" outlineLevel="0" collapsed="false">
      <c r="A192" s="1" t="s">
        <v>25</v>
      </c>
      <c r="B192" s="1" t="s">
        <v>205</v>
      </c>
      <c r="C192" s="1" t="s">
        <v>164</v>
      </c>
      <c r="D192" s="1" t="n">
        <v>8.5</v>
      </c>
      <c r="E192" s="1" t="n">
        <v>4</v>
      </c>
      <c r="F192" s="1" t="n">
        <v>1</v>
      </c>
      <c r="G192" s="1" t="n">
        <v>34</v>
      </c>
      <c r="H192" s="1" t="s">
        <v>318</v>
      </c>
    </row>
    <row r="193" customFormat="false" ht="15" hidden="false" customHeight="true" outlineLevel="0" collapsed="false">
      <c r="A193" s="1" t="s">
        <v>25</v>
      </c>
      <c r="B193" s="1" t="s">
        <v>207</v>
      </c>
      <c r="C193" s="1" t="s">
        <v>164</v>
      </c>
      <c r="D193" s="1" t="n">
        <v>7.15</v>
      </c>
      <c r="E193" s="1" t="n">
        <v>3</v>
      </c>
      <c r="F193" s="1" t="n">
        <v>1</v>
      </c>
      <c r="G193" s="1" t="n">
        <v>21.45</v>
      </c>
      <c r="H193" s="1" t="s">
        <v>319</v>
      </c>
    </row>
    <row r="194" customFormat="false" ht="15" hidden="false" customHeight="true" outlineLevel="0" collapsed="false">
      <c r="A194" s="1" t="s">
        <v>25</v>
      </c>
      <c r="B194" s="1" t="s">
        <v>172</v>
      </c>
      <c r="C194" s="1" t="s">
        <v>157</v>
      </c>
      <c r="D194" s="1" t="n">
        <v>19.8</v>
      </c>
      <c r="E194" s="1" t="n">
        <v>0.5</v>
      </c>
      <c r="F194" s="1" t="n">
        <v>1</v>
      </c>
      <c r="G194" s="1" t="n">
        <v>9.9</v>
      </c>
      <c r="H194" s="1" t="s">
        <v>146</v>
      </c>
    </row>
    <row r="195" customFormat="false" ht="15" hidden="false" customHeight="true" outlineLevel="0" collapsed="false">
      <c r="A195" s="1" t="s">
        <v>25</v>
      </c>
      <c r="B195" s="1" t="s">
        <v>187</v>
      </c>
      <c r="C195" s="1" t="s">
        <v>157</v>
      </c>
      <c r="D195" s="1" t="n">
        <v>8.9</v>
      </c>
      <c r="E195" s="1" t="n">
        <v>0.5</v>
      </c>
      <c r="F195" s="1" t="n">
        <v>1</v>
      </c>
      <c r="G195" s="1" t="n">
        <v>4.45</v>
      </c>
      <c r="H195" s="1" t="s">
        <v>144</v>
      </c>
    </row>
    <row r="196" customFormat="false" ht="15" hidden="false" customHeight="true" outlineLevel="0" collapsed="false">
      <c r="A196" s="1" t="s">
        <v>25</v>
      </c>
      <c r="B196" s="1" t="s">
        <v>175</v>
      </c>
      <c r="C196" s="1" t="s">
        <v>157</v>
      </c>
      <c r="D196" s="1" t="n">
        <v>8.94</v>
      </c>
      <c r="E196" s="1" t="n">
        <v>1.5</v>
      </c>
      <c r="F196" s="1" t="n">
        <v>2</v>
      </c>
      <c r="G196" s="1" t="n">
        <v>26.81</v>
      </c>
      <c r="H196" s="1" t="s">
        <v>145</v>
      </c>
    </row>
    <row r="197" customFormat="false" ht="15" hidden="false" customHeight="true" outlineLevel="0" collapsed="false">
      <c r="A197" s="1" t="s">
        <v>25</v>
      </c>
      <c r="B197" s="1" t="s">
        <v>174</v>
      </c>
      <c r="C197" s="1" t="s">
        <v>157</v>
      </c>
      <c r="D197" s="1" t="n">
        <v>19.76</v>
      </c>
      <c r="E197" s="1" t="n">
        <v>1</v>
      </c>
      <c r="F197" s="1" t="n">
        <v>2</v>
      </c>
      <c r="G197" s="1" t="n">
        <v>39.52</v>
      </c>
      <c r="H197" s="1" t="s">
        <v>147</v>
      </c>
    </row>
    <row r="198" customFormat="false" ht="15" hidden="false" customHeight="true" outlineLevel="0" collapsed="false">
      <c r="A198" s="1" t="s">
        <v>25</v>
      </c>
      <c r="B198" s="1" t="s">
        <v>170</v>
      </c>
      <c r="C198" s="1" t="s">
        <v>164</v>
      </c>
      <c r="D198" s="1" t="n">
        <v>8.4</v>
      </c>
      <c r="E198" s="1" t="n">
        <v>2.5</v>
      </c>
      <c r="F198" s="1" t="n">
        <v>1</v>
      </c>
      <c r="G198" s="1" t="n">
        <v>21</v>
      </c>
      <c r="H198" s="1" t="s">
        <v>320</v>
      </c>
    </row>
    <row r="199" customFormat="false" ht="15" hidden="false" customHeight="true" outlineLevel="0" collapsed="false">
      <c r="A199" s="1" t="s">
        <v>25</v>
      </c>
      <c r="B199" s="1" t="s">
        <v>307</v>
      </c>
      <c r="C199" s="1" t="s">
        <v>164</v>
      </c>
      <c r="D199" s="1" t="n">
        <v>2.86</v>
      </c>
      <c r="E199" s="1" t="n">
        <v>2</v>
      </c>
      <c r="F199" s="1" t="n">
        <v>1</v>
      </c>
      <c r="G199" s="1" t="n">
        <v>5.72</v>
      </c>
      <c r="H199" s="1" t="s">
        <v>321</v>
      </c>
    </row>
    <row r="200" customFormat="false" ht="15" hidden="false" customHeight="true" outlineLevel="0" collapsed="false">
      <c r="A200" s="1" t="s">
        <v>25</v>
      </c>
      <c r="B200" s="1" t="s">
        <v>322</v>
      </c>
      <c r="C200" s="1" t="s">
        <v>164</v>
      </c>
      <c r="D200" s="1" t="n">
        <v>4.96</v>
      </c>
      <c r="E200" s="1" t="n">
        <v>6</v>
      </c>
      <c r="F200" s="1" t="n">
        <v>1</v>
      </c>
      <c r="G200" s="1" t="n">
        <v>29.76</v>
      </c>
      <c r="H200" s="1" t="s">
        <v>323</v>
      </c>
    </row>
    <row r="201" customFormat="false" ht="15" hidden="false" customHeight="true" outlineLevel="0" collapsed="false">
      <c r="A201" s="1" t="s">
        <v>25</v>
      </c>
      <c r="B201" s="1" t="s">
        <v>324</v>
      </c>
      <c r="C201" s="1" t="s">
        <v>164</v>
      </c>
      <c r="D201" s="1" t="n">
        <v>6.25</v>
      </c>
      <c r="E201" s="1" t="n">
        <v>6</v>
      </c>
      <c r="F201" s="1" t="n">
        <v>1</v>
      </c>
      <c r="G201" s="1" t="n">
        <v>37.5</v>
      </c>
      <c r="H201" s="1" t="s">
        <v>325</v>
      </c>
    </row>
    <row r="202" customFormat="false" ht="15" hidden="false" customHeight="true" outlineLevel="0" collapsed="false">
      <c r="A202" s="1" t="s">
        <v>26</v>
      </c>
      <c r="B202" s="1" t="s">
        <v>261</v>
      </c>
      <c r="C202" s="1" t="s">
        <v>157</v>
      </c>
      <c r="D202" s="1" t="n">
        <v>1.8</v>
      </c>
      <c r="E202" s="1" t="n">
        <v>9</v>
      </c>
      <c r="F202" s="1" t="n">
        <v>1</v>
      </c>
      <c r="G202" s="1" t="n">
        <v>16.21</v>
      </c>
      <c r="H202" s="1" t="s">
        <v>326</v>
      </c>
    </row>
    <row r="203" customFormat="false" ht="15" hidden="false" customHeight="true" outlineLevel="0" collapsed="false">
      <c r="A203" s="1" t="s">
        <v>26</v>
      </c>
      <c r="B203" s="1" t="s">
        <v>316</v>
      </c>
      <c r="C203" s="1" t="s">
        <v>157</v>
      </c>
      <c r="D203" s="1" t="n">
        <v>1.8</v>
      </c>
      <c r="E203" s="1" t="n">
        <v>0.5</v>
      </c>
      <c r="F203" s="1" t="n">
        <v>1</v>
      </c>
      <c r="G203" s="1" t="n">
        <v>0.9</v>
      </c>
      <c r="H203" s="1" t="s">
        <v>142</v>
      </c>
    </row>
    <row r="204" customFormat="false" ht="15" hidden="false" customHeight="true" outlineLevel="0" collapsed="false">
      <c r="A204" s="1" t="s">
        <v>26</v>
      </c>
      <c r="B204" s="1" t="s">
        <v>317</v>
      </c>
      <c r="C204" s="1" t="s">
        <v>157</v>
      </c>
      <c r="D204" s="1" t="n">
        <v>1.8</v>
      </c>
      <c r="E204" s="1" t="n">
        <v>1</v>
      </c>
      <c r="F204" s="1" t="n">
        <v>2</v>
      </c>
      <c r="G204" s="1" t="n">
        <v>3.6</v>
      </c>
      <c r="H204" s="1" t="s">
        <v>143</v>
      </c>
    </row>
    <row r="205" customFormat="false" ht="15" hidden="false" customHeight="true" outlineLevel="0" collapsed="false">
      <c r="A205" s="1" t="s">
        <v>27</v>
      </c>
      <c r="B205" s="1" t="s">
        <v>161</v>
      </c>
      <c r="C205" s="1" t="s">
        <v>157</v>
      </c>
      <c r="D205" s="1" t="n">
        <v>4.92</v>
      </c>
      <c r="E205" s="1" t="n">
        <v>9</v>
      </c>
      <c r="F205" s="1" t="n">
        <v>1</v>
      </c>
      <c r="G205" s="1" t="n">
        <v>44.3</v>
      </c>
      <c r="H205" s="1" t="s">
        <v>327</v>
      </c>
    </row>
    <row r="206" customFormat="false" ht="15" hidden="false" customHeight="true" outlineLevel="0" collapsed="false">
      <c r="A206" s="1" t="s">
        <v>27</v>
      </c>
      <c r="B206" s="1" t="s">
        <v>205</v>
      </c>
      <c r="C206" s="1" t="s">
        <v>164</v>
      </c>
      <c r="D206" s="1" t="n">
        <v>6.36</v>
      </c>
      <c r="E206" s="1" t="n">
        <v>4</v>
      </c>
      <c r="F206" s="1" t="n">
        <v>1</v>
      </c>
      <c r="G206" s="1" t="n">
        <v>25.44</v>
      </c>
      <c r="H206" s="1" t="s">
        <v>328</v>
      </c>
    </row>
    <row r="207" customFormat="false" ht="15" hidden="false" customHeight="true" outlineLevel="0" collapsed="false">
      <c r="A207" s="1" t="s">
        <v>27</v>
      </c>
      <c r="B207" s="1" t="s">
        <v>207</v>
      </c>
      <c r="C207" s="1" t="s">
        <v>164</v>
      </c>
      <c r="D207" s="1" t="n">
        <v>11.6</v>
      </c>
      <c r="E207" s="1" t="n">
        <v>3</v>
      </c>
      <c r="F207" s="1" t="n">
        <v>1</v>
      </c>
      <c r="G207" s="1" t="n">
        <v>34.8</v>
      </c>
      <c r="H207" s="1" t="s">
        <v>329</v>
      </c>
    </row>
    <row r="208" customFormat="false" ht="15" hidden="false" customHeight="true" outlineLevel="0" collapsed="false">
      <c r="A208" s="1" t="s">
        <v>27</v>
      </c>
      <c r="B208" s="1" t="s">
        <v>207</v>
      </c>
      <c r="C208" s="1" t="s">
        <v>157</v>
      </c>
      <c r="D208" s="1" t="n">
        <v>1</v>
      </c>
      <c r="E208" s="1" t="n">
        <v>3</v>
      </c>
      <c r="F208" s="1" t="n">
        <v>1</v>
      </c>
      <c r="G208" s="1" t="n">
        <v>3</v>
      </c>
      <c r="H208" s="1" t="s">
        <v>330</v>
      </c>
    </row>
    <row r="209" customFormat="false" ht="15" hidden="false" customHeight="true" outlineLevel="0" collapsed="false">
      <c r="A209" s="1" t="s">
        <v>27</v>
      </c>
      <c r="B209" s="1" t="s">
        <v>174</v>
      </c>
      <c r="C209" s="1" t="s">
        <v>157</v>
      </c>
      <c r="D209" s="1" t="n">
        <v>29.41</v>
      </c>
      <c r="E209" s="1" t="n">
        <v>1</v>
      </c>
      <c r="F209" s="1" t="n">
        <v>2</v>
      </c>
      <c r="G209" s="1" t="n">
        <v>58.82</v>
      </c>
      <c r="H209" s="1" t="s">
        <v>122</v>
      </c>
    </row>
    <row r="210" customFormat="false" ht="15" hidden="false" customHeight="true" outlineLevel="0" collapsed="false">
      <c r="A210" s="1" t="s">
        <v>27</v>
      </c>
      <c r="B210" s="1" t="s">
        <v>258</v>
      </c>
      <c r="C210" s="1" t="s">
        <v>164</v>
      </c>
      <c r="D210" s="1" t="n">
        <v>5</v>
      </c>
      <c r="E210" s="1" t="n">
        <v>10</v>
      </c>
      <c r="F210" s="1" t="n">
        <v>1</v>
      </c>
      <c r="G210" s="1" t="n">
        <v>50</v>
      </c>
      <c r="H210" s="1" t="s">
        <v>331</v>
      </c>
    </row>
    <row r="211" customFormat="false" ht="15" hidden="false" customHeight="true" outlineLevel="0" collapsed="false">
      <c r="A211" s="1" t="s">
        <v>27</v>
      </c>
      <c r="B211" s="1" t="s">
        <v>170</v>
      </c>
      <c r="C211" s="1" t="s">
        <v>164</v>
      </c>
      <c r="D211" s="1" t="n">
        <v>20.32</v>
      </c>
      <c r="E211" s="1" t="n">
        <v>2.5</v>
      </c>
      <c r="F211" s="1" t="n">
        <v>1</v>
      </c>
      <c r="G211" s="1" t="n">
        <v>50.8</v>
      </c>
      <c r="H211" s="1" t="s">
        <v>332</v>
      </c>
    </row>
    <row r="212" customFormat="false" ht="15" hidden="false" customHeight="true" outlineLevel="0" collapsed="false">
      <c r="A212" s="1" t="s">
        <v>27</v>
      </c>
      <c r="B212" s="1" t="s">
        <v>307</v>
      </c>
      <c r="C212" s="1" t="s">
        <v>164</v>
      </c>
      <c r="D212" s="1" t="n">
        <v>11.34</v>
      </c>
      <c r="E212" s="1" t="n">
        <v>2</v>
      </c>
      <c r="F212" s="1" t="n">
        <v>1</v>
      </c>
      <c r="G212" s="1" t="n">
        <v>22.68</v>
      </c>
      <c r="H212" s="1" t="s">
        <v>333</v>
      </c>
    </row>
    <row r="213" customFormat="false" ht="15" hidden="false" customHeight="true" outlineLevel="0" collapsed="false">
      <c r="A213" s="1" t="s">
        <v>27</v>
      </c>
      <c r="B213" s="1" t="s">
        <v>231</v>
      </c>
      <c r="C213" s="1" t="s">
        <v>157</v>
      </c>
      <c r="D213" s="1" t="n">
        <v>2</v>
      </c>
      <c r="E213" s="1" t="n">
        <v>3</v>
      </c>
      <c r="F213" s="1" t="n">
        <v>1</v>
      </c>
      <c r="G213" s="1" t="n">
        <v>6</v>
      </c>
      <c r="H213" s="1" t="s">
        <v>334</v>
      </c>
    </row>
    <row r="214" customFormat="false" ht="15" hidden="false" customHeight="true" outlineLevel="0" collapsed="false">
      <c r="A214" s="1" t="s">
        <v>27</v>
      </c>
      <c r="B214" s="1" t="s">
        <v>172</v>
      </c>
      <c r="C214" s="1" t="s">
        <v>157</v>
      </c>
      <c r="D214" s="1" t="n">
        <v>29.4</v>
      </c>
      <c r="E214" s="1" t="n">
        <v>0.5</v>
      </c>
      <c r="F214" s="1" t="n">
        <v>1</v>
      </c>
      <c r="G214" s="1" t="n">
        <v>14.7</v>
      </c>
      <c r="H214" s="1" t="s">
        <v>121</v>
      </c>
    </row>
    <row r="215" customFormat="false" ht="15" hidden="false" customHeight="true" outlineLevel="0" collapsed="false">
      <c r="A215" s="1" t="s">
        <v>28</v>
      </c>
      <c r="B215" s="1" t="s">
        <v>335</v>
      </c>
      <c r="C215" s="1" t="s">
        <v>157</v>
      </c>
      <c r="D215" s="1" t="n">
        <v>1.5</v>
      </c>
      <c r="E215" s="1" t="n">
        <v>6.5</v>
      </c>
      <c r="F215" s="1" t="n">
        <v>1</v>
      </c>
      <c r="G215" s="1" t="n">
        <v>9.73</v>
      </c>
      <c r="H215" s="1" t="s">
        <v>336</v>
      </c>
    </row>
    <row r="216" customFormat="false" ht="15" hidden="false" customHeight="true" outlineLevel="0" collapsed="false">
      <c r="A216" s="1" t="s">
        <v>28</v>
      </c>
      <c r="B216" s="1" t="s">
        <v>337</v>
      </c>
      <c r="C216" s="1" t="s">
        <v>157</v>
      </c>
      <c r="D216" s="1" t="n">
        <v>1.5</v>
      </c>
      <c r="E216" s="1" t="n">
        <v>0.5</v>
      </c>
      <c r="F216" s="1" t="n">
        <v>1</v>
      </c>
      <c r="G216" s="1" t="n">
        <v>0.75</v>
      </c>
      <c r="H216" s="1" t="s">
        <v>119</v>
      </c>
    </row>
    <row r="217" customFormat="false" ht="15" hidden="false" customHeight="true" outlineLevel="0" collapsed="false">
      <c r="A217" s="1" t="s">
        <v>28</v>
      </c>
      <c r="B217" s="1" t="s">
        <v>317</v>
      </c>
      <c r="C217" s="1" t="s">
        <v>157</v>
      </c>
      <c r="D217" s="1" t="n">
        <v>1.5</v>
      </c>
      <c r="E217" s="1" t="n">
        <v>1</v>
      </c>
      <c r="F217" s="1" t="n">
        <v>2</v>
      </c>
      <c r="G217" s="1" t="n">
        <v>3</v>
      </c>
      <c r="H217" s="1" t="s">
        <v>120</v>
      </c>
    </row>
    <row r="218" customFormat="false" ht="15" hidden="false" customHeight="true" outlineLevel="0" collapsed="false">
      <c r="A218" s="1" t="s">
        <v>28</v>
      </c>
      <c r="B218" s="1" t="s">
        <v>307</v>
      </c>
      <c r="C218" s="1" t="s">
        <v>164</v>
      </c>
      <c r="D218" s="1" t="n">
        <v>3.08</v>
      </c>
      <c r="E218" s="1" t="n">
        <v>2</v>
      </c>
      <c r="F218" s="1" t="n">
        <v>1</v>
      </c>
      <c r="G218" s="1" t="n">
        <v>6.16</v>
      </c>
      <c r="H218" s="1" t="s">
        <v>338</v>
      </c>
    </row>
    <row r="219" customFormat="false" ht="15" hidden="false" customHeight="true" outlineLevel="0" collapsed="false">
      <c r="A219" s="1" t="s">
        <v>28</v>
      </c>
      <c r="B219" s="1" t="s">
        <v>170</v>
      </c>
      <c r="C219" s="1" t="s">
        <v>164</v>
      </c>
      <c r="D219" s="1" t="n">
        <v>3.48</v>
      </c>
      <c r="E219" s="1" t="n">
        <v>2.5</v>
      </c>
      <c r="F219" s="1" t="n">
        <v>1</v>
      </c>
      <c r="G219" s="1" t="n">
        <v>8.7</v>
      </c>
      <c r="H219" s="1" t="s">
        <v>339</v>
      </c>
    </row>
    <row r="220" customFormat="false" ht="15" hidden="false" customHeight="true" outlineLevel="0" collapsed="false">
      <c r="A220" s="1" t="s">
        <v>27</v>
      </c>
      <c r="B220" s="1" t="s">
        <v>224</v>
      </c>
      <c r="C220" s="1" t="s">
        <v>157</v>
      </c>
      <c r="D220" s="1" t="n">
        <v>1</v>
      </c>
      <c r="E220" s="1" t="n">
        <v>15</v>
      </c>
      <c r="F220" s="1" t="n">
        <v>1</v>
      </c>
      <c r="G220" s="1" t="n">
        <v>15</v>
      </c>
      <c r="H220" s="1" t="s">
        <v>340</v>
      </c>
    </row>
    <row r="221" customFormat="false" ht="15" hidden="false" customHeight="true" outlineLevel="0" collapsed="false">
      <c r="A221" s="1" t="s">
        <v>29</v>
      </c>
      <c r="B221" s="1" t="s">
        <v>205</v>
      </c>
      <c r="C221" s="1" t="s">
        <v>164</v>
      </c>
      <c r="D221" s="1" t="n">
        <v>2</v>
      </c>
      <c r="E221" s="1" t="n">
        <v>4</v>
      </c>
      <c r="F221" s="1" t="n">
        <v>1</v>
      </c>
      <c r="G221" s="1" t="n">
        <v>8</v>
      </c>
      <c r="H221" s="1" t="s">
        <v>341</v>
      </c>
    </row>
    <row r="222" customFormat="false" ht="15" hidden="false" customHeight="true" outlineLevel="0" collapsed="false">
      <c r="A222" s="1" t="s">
        <v>29</v>
      </c>
      <c r="B222" s="1" t="s">
        <v>172</v>
      </c>
      <c r="C222" s="1" t="s">
        <v>157</v>
      </c>
      <c r="D222" s="1" t="n">
        <v>10.8</v>
      </c>
      <c r="E222" s="1" t="n">
        <v>0.5</v>
      </c>
      <c r="F222" s="1" t="n">
        <v>1</v>
      </c>
      <c r="G222" s="1" t="n">
        <v>5.4</v>
      </c>
      <c r="H222" s="1" t="s">
        <v>116</v>
      </c>
    </row>
    <row r="223" customFormat="false" ht="15" hidden="false" customHeight="true" outlineLevel="0" collapsed="false">
      <c r="A223" s="1" t="s">
        <v>29</v>
      </c>
      <c r="B223" s="1" t="s">
        <v>207</v>
      </c>
      <c r="C223" s="1" t="s">
        <v>164</v>
      </c>
      <c r="D223" s="1" t="n">
        <v>4.2</v>
      </c>
      <c r="E223" s="1" t="n">
        <v>3</v>
      </c>
      <c r="F223" s="1" t="n">
        <v>1</v>
      </c>
      <c r="G223" s="1" t="n">
        <v>12.6</v>
      </c>
      <c r="H223" s="1" t="s">
        <v>342</v>
      </c>
    </row>
    <row r="224" customFormat="false" ht="15" hidden="false" customHeight="true" outlineLevel="0" collapsed="false">
      <c r="A224" s="1" t="s">
        <v>29</v>
      </c>
      <c r="B224" s="1" t="s">
        <v>343</v>
      </c>
      <c r="C224" s="1" t="s">
        <v>157</v>
      </c>
      <c r="D224" s="1" t="n">
        <v>2</v>
      </c>
      <c r="E224" s="1" t="n">
        <v>9</v>
      </c>
      <c r="F224" s="1" t="n">
        <v>1</v>
      </c>
      <c r="G224" s="1" t="n">
        <v>18</v>
      </c>
      <c r="H224" s="1" t="s">
        <v>344</v>
      </c>
    </row>
    <row r="225" customFormat="false" ht="15" hidden="false" customHeight="true" outlineLevel="0" collapsed="false">
      <c r="A225" s="1" t="s">
        <v>29</v>
      </c>
      <c r="B225" s="1" t="s">
        <v>345</v>
      </c>
      <c r="C225" s="1" t="s">
        <v>157</v>
      </c>
      <c r="D225" s="1" t="n">
        <v>10.79</v>
      </c>
      <c r="E225" s="1" t="n">
        <v>4</v>
      </c>
      <c r="F225" s="1" t="n">
        <v>1</v>
      </c>
      <c r="G225" s="1" t="n">
        <v>43.15</v>
      </c>
      <c r="H225" s="1" t="s">
        <v>346</v>
      </c>
    </row>
    <row r="226" customFormat="false" ht="15" hidden="false" customHeight="true" outlineLevel="0" collapsed="false">
      <c r="A226" s="1" t="s">
        <v>29</v>
      </c>
      <c r="B226" s="1" t="s">
        <v>187</v>
      </c>
      <c r="C226" s="1" t="s">
        <v>157</v>
      </c>
      <c r="D226" s="1" t="n">
        <v>3.1</v>
      </c>
      <c r="E226" s="1" t="n">
        <v>0.5</v>
      </c>
      <c r="F226" s="1" t="n">
        <v>1</v>
      </c>
      <c r="G226" s="1" t="n">
        <v>1.55</v>
      </c>
      <c r="H226" s="1" t="s">
        <v>114</v>
      </c>
    </row>
    <row r="227" customFormat="false" ht="15" hidden="false" customHeight="true" outlineLevel="0" collapsed="false">
      <c r="A227" s="1" t="s">
        <v>29</v>
      </c>
      <c r="B227" s="1" t="s">
        <v>175</v>
      </c>
      <c r="C227" s="1" t="s">
        <v>157</v>
      </c>
      <c r="D227" s="1" t="n">
        <v>3.06</v>
      </c>
      <c r="E227" s="1" t="n">
        <v>1.5</v>
      </c>
      <c r="F227" s="1" t="n">
        <v>2</v>
      </c>
      <c r="G227" s="1" t="n">
        <v>9.18</v>
      </c>
      <c r="H227" s="1" t="s">
        <v>115</v>
      </c>
    </row>
    <row r="228" customFormat="false" ht="15" hidden="false" customHeight="true" outlineLevel="0" collapsed="false">
      <c r="A228" s="1" t="s">
        <v>29</v>
      </c>
      <c r="B228" s="1" t="s">
        <v>174</v>
      </c>
      <c r="C228" s="1" t="s">
        <v>157</v>
      </c>
      <c r="D228" s="1" t="n">
        <v>10.79</v>
      </c>
      <c r="E228" s="1" t="n">
        <v>1</v>
      </c>
      <c r="F228" s="1" t="n">
        <v>2</v>
      </c>
      <c r="G228" s="1" t="n">
        <v>21.57</v>
      </c>
      <c r="H228" s="1" t="s">
        <v>117</v>
      </c>
    </row>
    <row r="229" customFormat="false" ht="15" hidden="false" customHeight="true" outlineLevel="0" collapsed="false">
      <c r="A229" s="1" t="s">
        <v>29</v>
      </c>
      <c r="B229" s="1" t="s">
        <v>178</v>
      </c>
      <c r="C229" s="1" t="s">
        <v>157</v>
      </c>
      <c r="D229" s="1" t="n">
        <v>0.82</v>
      </c>
      <c r="E229" s="1" t="n">
        <v>15</v>
      </c>
      <c r="F229" s="1" t="n">
        <v>1</v>
      </c>
      <c r="G229" s="1" t="n">
        <v>12.3</v>
      </c>
      <c r="H229" s="1" t="s">
        <v>347</v>
      </c>
    </row>
    <row r="230" customFormat="false" ht="15" hidden="false" customHeight="true" outlineLevel="0" collapsed="false">
      <c r="A230" s="1" t="s">
        <v>29</v>
      </c>
      <c r="B230" s="1" t="s">
        <v>307</v>
      </c>
      <c r="C230" s="1" t="s">
        <v>164</v>
      </c>
      <c r="D230" s="1" t="n">
        <v>11.2</v>
      </c>
      <c r="E230" s="1" t="n">
        <v>2</v>
      </c>
      <c r="F230" s="1" t="n">
        <v>1</v>
      </c>
      <c r="G230" s="1" t="n">
        <v>22.4</v>
      </c>
      <c r="H230" s="1" t="s">
        <v>348</v>
      </c>
    </row>
    <row r="231" customFormat="false" ht="15" hidden="false" customHeight="true" outlineLevel="0" collapsed="false">
      <c r="A231" s="1" t="s">
        <v>30</v>
      </c>
      <c r="B231" s="1" t="s">
        <v>215</v>
      </c>
      <c r="C231" s="1" t="s">
        <v>164</v>
      </c>
      <c r="D231" s="1" t="n">
        <v>2.52</v>
      </c>
      <c r="E231" s="1" t="n">
        <v>3</v>
      </c>
      <c r="F231" s="1" t="n">
        <v>1</v>
      </c>
      <c r="G231" s="1" t="n">
        <v>7.56</v>
      </c>
      <c r="H231" s="1" t="s">
        <v>349</v>
      </c>
    </row>
    <row r="232" customFormat="false" ht="15" hidden="false" customHeight="true" outlineLevel="0" collapsed="false">
      <c r="A232" s="1" t="s">
        <v>30</v>
      </c>
      <c r="B232" s="1" t="s">
        <v>187</v>
      </c>
      <c r="C232" s="1" t="s">
        <v>157</v>
      </c>
      <c r="D232" s="1" t="n">
        <v>1.49</v>
      </c>
      <c r="E232" s="1" t="n">
        <v>0.5</v>
      </c>
      <c r="F232" s="1" t="n">
        <v>1</v>
      </c>
      <c r="G232" s="1" t="n">
        <v>0.74</v>
      </c>
      <c r="H232" s="1" t="s">
        <v>127</v>
      </c>
    </row>
    <row r="233" customFormat="false" ht="15" hidden="false" customHeight="true" outlineLevel="0" collapsed="false">
      <c r="A233" s="1" t="s">
        <v>30</v>
      </c>
      <c r="B233" s="1" t="s">
        <v>175</v>
      </c>
      <c r="C233" s="1" t="s">
        <v>157</v>
      </c>
      <c r="D233" s="1" t="n">
        <v>1.49</v>
      </c>
      <c r="E233" s="1" t="n">
        <v>1.5</v>
      </c>
      <c r="F233" s="1" t="n">
        <v>2</v>
      </c>
      <c r="G233" s="1" t="n">
        <v>4.46</v>
      </c>
      <c r="H233" s="1" t="s">
        <v>128</v>
      </c>
    </row>
    <row r="234" customFormat="false" ht="15" hidden="false" customHeight="true" outlineLevel="0" collapsed="false">
      <c r="A234" s="1" t="s">
        <v>30</v>
      </c>
      <c r="B234" s="1" t="s">
        <v>172</v>
      </c>
      <c r="C234" s="1" t="s">
        <v>157</v>
      </c>
      <c r="D234" s="1" t="n">
        <v>5.04</v>
      </c>
      <c r="E234" s="1" t="n">
        <v>0.5</v>
      </c>
      <c r="F234" s="1" t="n">
        <v>1</v>
      </c>
      <c r="G234" s="1" t="n">
        <v>2.52</v>
      </c>
      <c r="H234" s="1" t="s">
        <v>129</v>
      </c>
    </row>
    <row r="235" customFormat="false" ht="15" hidden="false" customHeight="true" outlineLevel="0" collapsed="false">
      <c r="A235" s="1" t="s">
        <v>30</v>
      </c>
      <c r="B235" s="1" t="s">
        <v>174</v>
      </c>
      <c r="C235" s="1" t="s">
        <v>157</v>
      </c>
      <c r="D235" s="1" t="n">
        <v>5.04</v>
      </c>
      <c r="E235" s="1" t="n">
        <v>1</v>
      </c>
      <c r="F235" s="1" t="n">
        <v>2</v>
      </c>
      <c r="G235" s="1" t="n">
        <v>10.08</v>
      </c>
      <c r="H235" s="1" t="s">
        <v>130</v>
      </c>
    </row>
    <row r="236" customFormat="false" ht="15" hidden="false" customHeight="true" outlineLevel="0" collapsed="false">
      <c r="A236" s="1" t="s">
        <v>30</v>
      </c>
      <c r="B236" s="1" t="s">
        <v>170</v>
      </c>
      <c r="C236" s="1" t="s">
        <v>164</v>
      </c>
      <c r="D236" s="1" t="n">
        <v>1.75</v>
      </c>
      <c r="E236" s="1" t="n">
        <v>2.5</v>
      </c>
      <c r="F236" s="1" t="n">
        <v>1</v>
      </c>
      <c r="G236" s="1" t="n">
        <v>4.38</v>
      </c>
      <c r="H236" s="1" t="s">
        <v>350</v>
      </c>
    </row>
    <row r="237" customFormat="false" ht="15" hidden="false" customHeight="true" outlineLevel="0" collapsed="false">
      <c r="A237" s="1" t="s">
        <v>30</v>
      </c>
      <c r="B237" s="1" t="s">
        <v>307</v>
      </c>
      <c r="C237" s="1" t="s">
        <v>164</v>
      </c>
      <c r="D237" s="1" t="n">
        <v>5.06</v>
      </c>
      <c r="E237" s="1" t="n">
        <v>2</v>
      </c>
      <c r="F237" s="1" t="n">
        <v>1</v>
      </c>
      <c r="G237" s="1" t="n">
        <v>10.12</v>
      </c>
      <c r="H237" s="1" t="s">
        <v>351</v>
      </c>
    </row>
    <row r="238" customFormat="false" ht="15" hidden="false" customHeight="true" outlineLevel="0" collapsed="false">
      <c r="A238" s="1" t="s">
        <v>32</v>
      </c>
      <c r="B238" s="1" t="s">
        <v>161</v>
      </c>
      <c r="C238" s="1" t="s">
        <v>157</v>
      </c>
      <c r="D238" s="1" t="n">
        <v>9.24</v>
      </c>
      <c r="E238" s="1" t="n">
        <v>9</v>
      </c>
      <c r="F238" s="1" t="n">
        <v>2</v>
      </c>
      <c r="G238" s="1" t="n">
        <v>166.28</v>
      </c>
      <c r="H238" s="1" t="s">
        <v>352</v>
      </c>
    </row>
    <row r="239" customFormat="false" ht="15" hidden="false" customHeight="true" outlineLevel="0" collapsed="false">
      <c r="A239" s="1" t="s">
        <v>32</v>
      </c>
      <c r="B239" s="1" t="s">
        <v>172</v>
      </c>
      <c r="C239" s="1" t="s">
        <v>157</v>
      </c>
      <c r="D239" s="1" t="n">
        <v>9.2</v>
      </c>
      <c r="E239" s="1" t="n">
        <v>0.5</v>
      </c>
      <c r="F239" s="1" t="n">
        <v>1</v>
      </c>
      <c r="G239" s="1" t="n">
        <v>4.6</v>
      </c>
      <c r="H239" s="1" t="s">
        <v>95</v>
      </c>
    </row>
    <row r="240" customFormat="false" ht="15" hidden="false" customHeight="true" outlineLevel="0" collapsed="false">
      <c r="A240" s="1" t="s">
        <v>32</v>
      </c>
      <c r="B240" s="1" t="s">
        <v>215</v>
      </c>
      <c r="C240" s="1" t="s">
        <v>164</v>
      </c>
      <c r="D240" s="1" t="n">
        <v>5.72</v>
      </c>
      <c r="E240" s="1" t="n">
        <v>3</v>
      </c>
      <c r="F240" s="1" t="n">
        <v>1</v>
      </c>
      <c r="G240" s="1" t="n">
        <v>17.16</v>
      </c>
      <c r="H240" s="1" t="s">
        <v>353</v>
      </c>
    </row>
    <row r="241" customFormat="false" ht="15" hidden="false" customHeight="true" outlineLevel="0" collapsed="false">
      <c r="A241" s="1" t="s">
        <v>32</v>
      </c>
      <c r="B241" s="1" t="s">
        <v>174</v>
      </c>
      <c r="C241" s="1" t="s">
        <v>157</v>
      </c>
      <c r="D241" s="1" t="n">
        <v>9.24</v>
      </c>
      <c r="E241" s="1" t="n">
        <v>1</v>
      </c>
      <c r="F241" s="1" t="n">
        <v>2</v>
      </c>
      <c r="G241" s="1" t="n">
        <v>18.48</v>
      </c>
      <c r="H241" s="1" t="s">
        <v>96</v>
      </c>
    </row>
    <row r="242" customFormat="false" ht="15" hidden="false" customHeight="true" outlineLevel="0" collapsed="false">
      <c r="A242" s="1" t="s">
        <v>32</v>
      </c>
      <c r="B242" s="1" t="s">
        <v>307</v>
      </c>
      <c r="C242" s="1" t="s">
        <v>164</v>
      </c>
      <c r="D242" s="1" t="n">
        <v>3.76</v>
      </c>
      <c r="E242" s="1" t="n">
        <v>2</v>
      </c>
      <c r="F242" s="1" t="n">
        <v>1</v>
      </c>
      <c r="G242" s="1" t="n">
        <v>7.52</v>
      </c>
      <c r="H242" s="1" t="s">
        <v>354</v>
      </c>
    </row>
    <row r="243" customFormat="false" ht="15" hidden="false" customHeight="true" outlineLevel="0" collapsed="false">
      <c r="A243" s="1" t="s">
        <v>33</v>
      </c>
      <c r="B243" s="1" t="s">
        <v>355</v>
      </c>
      <c r="C243" s="1" t="s">
        <v>157</v>
      </c>
      <c r="D243" s="1" t="n">
        <v>11.46</v>
      </c>
      <c r="E243" s="1" t="n">
        <v>8</v>
      </c>
      <c r="F243" s="1" t="n">
        <v>1</v>
      </c>
      <c r="G243" s="1" t="n">
        <v>91.64</v>
      </c>
      <c r="H243" s="1" t="s">
        <v>356</v>
      </c>
    </row>
    <row r="244" customFormat="false" ht="15" hidden="false" customHeight="true" outlineLevel="0" collapsed="false">
      <c r="A244" s="1" t="s">
        <v>33</v>
      </c>
      <c r="B244" s="1" t="s">
        <v>215</v>
      </c>
      <c r="C244" s="1" t="s">
        <v>164</v>
      </c>
      <c r="D244" s="1" t="n">
        <v>10.21</v>
      </c>
      <c r="E244" s="1" t="n">
        <v>3</v>
      </c>
      <c r="F244" s="1" t="n">
        <v>1</v>
      </c>
      <c r="G244" s="1" t="n">
        <v>30.63</v>
      </c>
      <c r="H244" s="1" t="s">
        <v>357</v>
      </c>
    </row>
    <row r="245" customFormat="false" ht="15" hidden="false" customHeight="true" outlineLevel="0" collapsed="false">
      <c r="A245" s="1" t="s">
        <v>33</v>
      </c>
      <c r="B245" s="1" t="s">
        <v>170</v>
      </c>
      <c r="C245" s="1" t="s">
        <v>164</v>
      </c>
      <c r="D245" s="1" t="n">
        <v>5.52</v>
      </c>
      <c r="E245" s="1" t="n">
        <v>2.5</v>
      </c>
      <c r="F245" s="1" t="n">
        <v>1</v>
      </c>
      <c r="G245" s="1" t="n">
        <v>13.8</v>
      </c>
      <c r="H245" s="1" t="s">
        <v>358</v>
      </c>
    </row>
    <row r="246" customFormat="false" ht="15" hidden="false" customHeight="true" outlineLevel="0" collapsed="false">
      <c r="A246" s="1" t="s">
        <v>33</v>
      </c>
      <c r="B246" s="1" t="s">
        <v>231</v>
      </c>
      <c r="C246" s="1" t="s">
        <v>157</v>
      </c>
      <c r="D246" s="1" t="n">
        <v>24.29</v>
      </c>
      <c r="E246" s="1" t="n">
        <v>3</v>
      </c>
      <c r="F246" s="1" t="n">
        <v>1</v>
      </c>
      <c r="G246" s="1" t="n">
        <v>72.87</v>
      </c>
      <c r="H246" s="1" t="s">
        <v>359</v>
      </c>
    </row>
    <row r="247" customFormat="false" ht="15" hidden="false" customHeight="true" outlineLevel="0" collapsed="false">
      <c r="A247" s="1" t="s">
        <v>33</v>
      </c>
      <c r="B247" s="1" t="s">
        <v>187</v>
      </c>
      <c r="C247" s="1" t="s">
        <v>157</v>
      </c>
      <c r="D247" s="1" t="n">
        <v>11.5</v>
      </c>
      <c r="E247" s="1" t="n">
        <v>0.5</v>
      </c>
      <c r="F247" s="1" t="n">
        <v>1</v>
      </c>
      <c r="G247" s="1" t="n">
        <v>5.75</v>
      </c>
      <c r="H247" s="1" t="s">
        <v>85</v>
      </c>
    </row>
    <row r="248" customFormat="false" ht="15" hidden="false" customHeight="true" outlineLevel="0" collapsed="false">
      <c r="A248" s="1" t="s">
        <v>33</v>
      </c>
      <c r="B248" s="1" t="s">
        <v>172</v>
      </c>
      <c r="C248" s="1" t="s">
        <v>157</v>
      </c>
      <c r="D248" s="1" t="n">
        <v>24.3</v>
      </c>
      <c r="E248" s="1" t="n">
        <v>0.5</v>
      </c>
      <c r="F248" s="1" t="n">
        <v>1</v>
      </c>
      <c r="G248" s="1" t="n">
        <v>12.15</v>
      </c>
      <c r="H248" s="1" t="s">
        <v>88</v>
      </c>
    </row>
    <row r="249" customFormat="false" ht="15" hidden="false" customHeight="true" outlineLevel="0" collapsed="false">
      <c r="A249" s="1" t="s">
        <v>33</v>
      </c>
      <c r="B249" s="1" t="s">
        <v>175</v>
      </c>
      <c r="C249" s="1" t="s">
        <v>157</v>
      </c>
      <c r="D249" s="1" t="n">
        <v>11.5</v>
      </c>
      <c r="E249" s="1" t="n">
        <v>1.5</v>
      </c>
      <c r="F249" s="1" t="n">
        <v>2</v>
      </c>
      <c r="G249" s="1" t="n">
        <v>34.5</v>
      </c>
      <c r="H249" s="1" t="s">
        <v>86</v>
      </c>
    </row>
    <row r="250" customFormat="false" ht="15" hidden="false" customHeight="true" outlineLevel="0" collapsed="false">
      <c r="A250" s="1" t="s">
        <v>34</v>
      </c>
      <c r="B250" s="1" t="s">
        <v>172</v>
      </c>
      <c r="C250" s="1" t="s">
        <v>157</v>
      </c>
      <c r="D250" s="1" t="n">
        <v>22.37</v>
      </c>
      <c r="E250" s="1" t="n">
        <v>0.5</v>
      </c>
      <c r="F250" s="1" t="n">
        <v>1</v>
      </c>
      <c r="G250" s="1" t="n">
        <v>11.18</v>
      </c>
      <c r="H250" s="1" t="s">
        <v>97</v>
      </c>
    </row>
    <row r="251" customFormat="false" ht="15" hidden="false" customHeight="true" outlineLevel="0" collapsed="false">
      <c r="A251" s="1" t="s">
        <v>34</v>
      </c>
      <c r="B251" s="1" t="s">
        <v>231</v>
      </c>
      <c r="C251" s="1" t="s">
        <v>157</v>
      </c>
      <c r="D251" s="1" t="n">
        <v>22.37</v>
      </c>
      <c r="E251" s="1" t="n">
        <v>3</v>
      </c>
      <c r="F251" s="1" t="n">
        <v>1</v>
      </c>
      <c r="G251" s="1" t="n">
        <v>67.1</v>
      </c>
      <c r="H251" s="1" t="s">
        <v>360</v>
      </c>
    </row>
    <row r="252" customFormat="false" ht="15" hidden="false" customHeight="true" outlineLevel="0" collapsed="false">
      <c r="A252" s="1" t="s">
        <v>34</v>
      </c>
      <c r="B252" s="1" t="s">
        <v>174</v>
      </c>
      <c r="C252" s="1" t="s">
        <v>157</v>
      </c>
      <c r="D252" s="1" t="n">
        <v>22.37</v>
      </c>
      <c r="E252" s="1" t="n">
        <v>1</v>
      </c>
      <c r="F252" s="1" t="n">
        <v>1</v>
      </c>
      <c r="G252" s="1" t="n">
        <v>22.37</v>
      </c>
      <c r="H252" s="1" t="s">
        <v>98</v>
      </c>
    </row>
    <row r="253" customFormat="false" ht="15" hidden="false" customHeight="true" outlineLevel="0" collapsed="false">
      <c r="A253" s="1" t="s">
        <v>35</v>
      </c>
      <c r="B253" s="1" t="s">
        <v>361</v>
      </c>
      <c r="C253" s="1" t="s">
        <v>157</v>
      </c>
      <c r="D253" s="1" t="n">
        <v>0.47</v>
      </c>
      <c r="E253" s="1" t="n">
        <v>6.5</v>
      </c>
      <c r="F253" s="1" t="n">
        <v>1</v>
      </c>
      <c r="G253" s="1" t="n">
        <v>3.06</v>
      </c>
      <c r="H253" s="1" t="s">
        <v>362</v>
      </c>
    </row>
    <row r="254" customFormat="false" ht="15" hidden="false" customHeight="true" outlineLevel="0" collapsed="false">
      <c r="A254" s="1" t="s">
        <v>35</v>
      </c>
      <c r="B254" s="1" t="s">
        <v>363</v>
      </c>
      <c r="C254" s="1" t="s">
        <v>157</v>
      </c>
      <c r="D254" s="1" t="n">
        <v>0.98</v>
      </c>
      <c r="E254" s="1" t="n">
        <v>15</v>
      </c>
      <c r="F254" s="1" t="n">
        <v>1</v>
      </c>
      <c r="G254" s="1" t="n">
        <v>14.78</v>
      </c>
      <c r="H254" s="1" t="s">
        <v>364</v>
      </c>
    </row>
    <row r="255" customFormat="false" ht="15" hidden="false" customHeight="true" outlineLevel="0" collapsed="false">
      <c r="A255" s="1" t="s">
        <v>35</v>
      </c>
      <c r="B255" s="1" t="s">
        <v>355</v>
      </c>
      <c r="C255" s="1" t="s">
        <v>157</v>
      </c>
      <c r="D255" s="1" t="n">
        <v>5.12</v>
      </c>
      <c r="E255" s="1" t="n">
        <v>8</v>
      </c>
      <c r="F255" s="1" t="n">
        <v>1</v>
      </c>
      <c r="G255" s="1" t="n">
        <v>40.94</v>
      </c>
      <c r="H255" s="1" t="s">
        <v>365</v>
      </c>
    </row>
    <row r="256" customFormat="false" ht="15" hidden="false" customHeight="true" outlineLevel="0" collapsed="false">
      <c r="A256" s="1" t="s">
        <v>35</v>
      </c>
      <c r="B256" s="1" t="s">
        <v>366</v>
      </c>
      <c r="C256" s="1" t="s">
        <v>164</v>
      </c>
      <c r="D256" s="1" t="n">
        <v>17.36</v>
      </c>
      <c r="E256" s="1" t="n">
        <v>2.5</v>
      </c>
      <c r="F256" s="1" t="n">
        <v>1</v>
      </c>
      <c r="G256" s="1" t="n">
        <v>43.4</v>
      </c>
      <c r="H256" s="1" t="s">
        <v>367</v>
      </c>
    </row>
    <row r="257" customFormat="false" ht="15" hidden="false" customHeight="true" outlineLevel="0" collapsed="false">
      <c r="A257" s="1" t="s">
        <v>35</v>
      </c>
      <c r="B257" s="1" t="s">
        <v>368</v>
      </c>
      <c r="C257" s="1" t="s">
        <v>164</v>
      </c>
      <c r="D257" s="1" t="n">
        <v>15.56</v>
      </c>
      <c r="E257" s="1" t="n">
        <v>2</v>
      </c>
      <c r="F257" s="1" t="n">
        <v>1</v>
      </c>
      <c r="G257" s="1" t="n">
        <v>31.12</v>
      </c>
      <c r="H257" s="1" t="s">
        <v>369</v>
      </c>
    </row>
    <row r="258" customFormat="false" ht="15" hidden="false" customHeight="true" outlineLevel="0" collapsed="false">
      <c r="A258" s="1" t="s">
        <v>35</v>
      </c>
      <c r="B258" s="1" t="s">
        <v>205</v>
      </c>
      <c r="C258" s="1" t="s">
        <v>164</v>
      </c>
      <c r="D258" s="1" t="n">
        <v>5</v>
      </c>
      <c r="E258" s="1" t="n">
        <v>4</v>
      </c>
      <c r="F258" s="1" t="n">
        <v>1</v>
      </c>
      <c r="G258" s="1" t="n">
        <v>20</v>
      </c>
      <c r="H258" s="1" t="s">
        <v>370</v>
      </c>
    </row>
    <row r="259" customFormat="false" ht="15" hidden="false" customHeight="true" outlineLevel="0" collapsed="false">
      <c r="A259" s="1" t="s">
        <v>35</v>
      </c>
      <c r="B259" s="1" t="s">
        <v>187</v>
      </c>
      <c r="C259" s="1" t="s">
        <v>157</v>
      </c>
      <c r="D259" s="1" t="n">
        <v>5.1</v>
      </c>
      <c r="E259" s="1" t="n">
        <v>0.5</v>
      </c>
      <c r="F259" s="1" t="n">
        <v>1</v>
      </c>
      <c r="G259" s="1" t="n">
        <v>2.55</v>
      </c>
      <c r="H259" s="1" t="s">
        <v>133</v>
      </c>
    </row>
    <row r="260" customFormat="false" ht="15" hidden="false" customHeight="true" outlineLevel="0" collapsed="false">
      <c r="A260" s="1" t="s">
        <v>35</v>
      </c>
      <c r="B260" s="1" t="s">
        <v>371</v>
      </c>
      <c r="C260" s="1" t="s">
        <v>157</v>
      </c>
      <c r="D260" s="1" t="n">
        <v>21.9</v>
      </c>
      <c r="E260" s="1" t="n">
        <v>0.5</v>
      </c>
      <c r="F260" s="1" t="n">
        <v>1</v>
      </c>
      <c r="G260" s="1" t="n">
        <v>10.95</v>
      </c>
      <c r="H260" s="1" t="s">
        <v>131</v>
      </c>
    </row>
    <row r="261" customFormat="false" ht="15" hidden="false" customHeight="true" outlineLevel="0" collapsed="false">
      <c r="A261" s="1" t="s">
        <v>35</v>
      </c>
      <c r="B261" s="1" t="s">
        <v>175</v>
      </c>
      <c r="C261" s="1" t="s">
        <v>157</v>
      </c>
      <c r="D261" s="1" t="n">
        <v>5.12</v>
      </c>
      <c r="E261" s="1" t="n">
        <v>1.5</v>
      </c>
      <c r="F261" s="1" t="n">
        <v>2</v>
      </c>
      <c r="G261" s="1" t="n">
        <v>15.35</v>
      </c>
      <c r="H261" s="1" t="s">
        <v>134</v>
      </c>
    </row>
    <row r="262" customFormat="false" ht="15" hidden="false" customHeight="true" outlineLevel="0" collapsed="false">
      <c r="A262" s="1" t="s">
        <v>35</v>
      </c>
      <c r="B262" s="1" t="s">
        <v>372</v>
      </c>
      <c r="C262" s="1" t="s">
        <v>157</v>
      </c>
      <c r="D262" s="1" t="n">
        <v>21.85</v>
      </c>
      <c r="E262" s="1" t="n">
        <v>1</v>
      </c>
      <c r="F262" s="1" t="n">
        <v>2</v>
      </c>
      <c r="G262" s="1" t="n">
        <v>43.7</v>
      </c>
      <c r="H262" s="1" t="s">
        <v>132</v>
      </c>
    </row>
    <row r="263" customFormat="false" ht="15" hidden="false" customHeight="true" outlineLevel="0" collapsed="false">
      <c r="A263" s="1" t="s">
        <v>36</v>
      </c>
      <c r="B263" s="1" t="s">
        <v>373</v>
      </c>
      <c r="C263" s="1" t="s">
        <v>157</v>
      </c>
      <c r="D263" s="1" t="n">
        <v>12.38</v>
      </c>
      <c r="E263" s="1" t="n">
        <v>11</v>
      </c>
      <c r="F263" s="1" t="n">
        <v>1</v>
      </c>
      <c r="G263" s="1" t="n">
        <v>136.16</v>
      </c>
      <c r="H263" s="1" t="s">
        <v>374</v>
      </c>
    </row>
    <row r="264" customFormat="false" ht="15" hidden="false" customHeight="true" outlineLevel="0" collapsed="false">
      <c r="A264" s="1" t="s">
        <v>36</v>
      </c>
      <c r="B264" s="1" t="s">
        <v>375</v>
      </c>
      <c r="C264" s="1" t="s">
        <v>157</v>
      </c>
      <c r="D264" s="1" t="n">
        <v>6.88</v>
      </c>
      <c r="E264" s="1" t="n">
        <v>11</v>
      </c>
      <c r="F264" s="1" t="n">
        <v>1</v>
      </c>
      <c r="G264" s="1" t="n">
        <v>75.67</v>
      </c>
      <c r="H264" s="1" t="s">
        <v>376</v>
      </c>
    </row>
    <row r="265" customFormat="false" ht="15" hidden="false" customHeight="true" outlineLevel="0" collapsed="false">
      <c r="A265" s="1" t="s">
        <v>36</v>
      </c>
      <c r="B265" s="1" t="s">
        <v>377</v>
      </c>
      <c r="C265" s="1" t="s">
        <v>164</v>
      </c>
      <c r="D265" s="1" t="n">
        <v>7.11</v>
      </c>
      <c r="E265" s="1" t="n">
        <v>2.5</v>
      </c>
      <c r="F265" s="1" t="n">
        <v>1</v>
      </c>
      <c r="G265" s="1" t="n">
        <v>17.77</v>
      </c>
      <c r="H265" s="1" t="s">
        <v>378</v>
      </c>
    </row>
    <row r="266" customFormat="false" ht="15" hidden="false" customHeight="true" outlineLevel="0" collapsed="false">
      <c r="A266" s="1" t="s">
        <v>36</v>
      </c>
      <c r="B266" s="1" t="s">
        <v>379</v>
      </c>
      <c r="C266" s="1" t="s">
        <v>164</v>
      </c>
      <c r="D266" s="1" t="n">
        <v>9.6</v>
      </c>
      <c r="E266" s="1" t="n">
        <v>2</v>
      </c>
      <c r="F266" s="1" t="n">
        <v>1</v>
      </c>
      <c r="G266" s="1" t="n">
        <v>19.2</v>
      </c>
      <c r="H266" s="1" t="s">
        <v>380</v>
      </c>
    </row>
    <row r="267" customFormat="false" ht="15" hidden="false" customHeight="true" outlineLevel="0" collapsed="false">
      <c r="A267" s="1" t="s">
        <v>36</v>
      </c>
      <c r="B267" s="1" t="s">
        <v>381</v>
      </c>
      <c r="C267" s="1" t="s">
        <v>164</v>
      </c>
      <c r="D267" s="1" t="n">
        <v>17.8</v>
      </c>
      <c r="E267" s="1" t="n">
        <v>2.5</v>
      </c>
      <c r="F267" s="1" t="n">
        <v>1</v>
      </c>
      <c r="G267" s="1" t="n">
        <v>44.5</v>
      </c>
      <c r="H267" s="1" t="s">
        <v>382</v>
      </c>
    </row>
    <row r="268" customFormat="false" ht="15" hidden="false" customHeight="true" outlineLevel="0" collapsed="false">
      <c r="A268" s="1" t="s">
        <v>36</v>
      </c>
      <c r="B268" s="1" t="s">
        <v>383</v>
      </c>
      <c r="C268" s="1" t="s">
        <v>157</v>
      </c>
      <c r="D268" s="1" t="n">
        <v>6.78</v>
      </c>
      <c r="E268" s="1" t="n">
        <v>4</v>
      </c>
      <c r="F268" s="1" t="n">
        <v>1</v>
      </c>
      <c r="G268" s="1" t="n">
        <v>27.14</v>
      </c>
      <c r="H268" s="1" t="s">
        <v>384</v>
      </c>
    </row>
    <row r="269" customFormat="false" ht="15" hidden="false" customHeight="true" outlineLevel="0" collapsed="false">
      <c r="A269" s="1" t="s">
        <v>36</v>
      </c>
      <c r="B269" s="1" t="s">
        <v>385</v>
      </c>
      <c r="C269" s="1" t="s">
        <v>157</v>
      </c>
      <c r="D269" s="1" t="n">
        <v>6.88</v>
      </c>
      <c r="E269" s="1" t="n">
        <v>4</v>
      </c>
      <c r="F269" s="1" t="n">
        <v>1</v>
      </c>
      <c r="G269" s="1" t="n">
        <v>27.52</v>
      </c>
      <c r="H269" s="1" t="s">
        <v>386</v>
      </c>
    </row>
    <row r="270" customFormat="false" ht="15" hidden="false" customHeight="true" outlineLevel="0" collapsed="false">
      <c r="A270" s="1" t="s">
        <v>36</v>
      </c>
      <c r="B270" s="1" t="s">
        <v>387</v>
      </c>
      <c r="C270" s="1" t="s">
        <v>157</v>
      </c>
      <c r="D270" s="1" t="n">
        <v>6.78</v>
      </c>
      <c r="E270" s="1" t="n">
        <v>2</v>
      </c>
      <c r="F270" s="1" t="n">
        <v>1</v>
      </c>
      <c r="G270" s="1" t="n">
        <v>13.57</v>
      </c>
      <c r="H270" s="1" t="s">
        <v>388</v>
      </c>
    </row>
    <row r="271" customFormat="false" ht="15" hidden="false" customHeight="true" outlineLevel="0" collapsed="false">
      <c r="A271" s="1" t="s">
        <v>36</v>
      </c>
      <c r="B271" s="1" t="s">
        <v>389</v>
      </c>
      <c r="C271" s="1" t="s">
        <v>157</v>
      </c>
      <c r="D271" s="1" t="n">
        <v>6.88</v>
      </c>
      <c r="E271" s="1" t="n">
        <v>2</v>
      </c>
      <c r="F271" s="1" t="n">
        <v>1</v>
      </c>
      <c r="G271" s="1" t="n">
        <v>13.76</v>
      </c>
      <c r="H271" s="1" t="s">
        <v>390</v>
      </c>
    </row>
    <row r="272" customFormat="false" ht="15" hidden="false" customHeight="true" outlineLevel="0" collapsed="false">
      <c r="A272" s="1" t="s">
        <v>36</v>
      </c>
      <c r="B272" s="1" t="s">
        <v>391</v>
      </c>
      <c r="C272" s="1" t="s">
        <v>157</v>
      </c>
      <c r="D272" s="1" t="n">
        <v>6.8</v>
      </c>
      <c r="E272" s="1" t="n">
        <v>4</v>
      </c>
      <c r="F272" s="1" t="n">
        <v>1</v>
      </c>
      <c r="G272" s="1" t="n">
        <v>27.2</v>
      </c>
      <c r="H272" s="1" t="s">
        <v>392</v>
      </c>
    </row>
    <row r="273" customFormat="false" ht="15" hidden="false" customHeight="true" outlineLevel="0" collapsed="false">
      <c r="A273" s="1" t="s">
        <v>36</v>
      </c>
      <c r="B273" s="1" t="s">
        <v>393</v>
      </c>
      <c r="C273" s="1" t="s">
        <v>157</v>
      </c>
      <c r="D273" s="1" t="n">
        <v>6.88</v>
      </c>
      <c r="E273" s="1" t="n">
        <v>4</v>
      </c>
      <c r="F273" s="1" t="n">
        <v>1</v>
      </c>
      <c r="G273" s="1" t="n">
        <v>27.52</v>
      </c>
      <c r="H273" s="1" t="s">
        <v>394</v>
      </c>
    </row>
    <row r="274" customFormat="false" ht="15" hidden="false" customHeight="true" outlineLevel="0" collapsed="false">
      <c r="A274" s="1" t="s">
        <v>36</v>
      </c>
      <c r="B274" s="1" t="s">
        <v>395</v>
      </c>
      <c r="C274" s="1" t="s">
        <v>164</v>
      </c>
      <c r="D274" s="1" t="n">
        <v>6.88</v>
      </c>
      <c r="E274" s="1" t="n">
        <v>4</v>
      </c>
      <c r="F274" s="1" t="n">
        <v>1</v>
      </c>
      <c r="G274" s="1" t="n">
        <v>27.52</v>
      </c>
      <c r="H274" s="1" t="s">
        <v>396</v>
      </c>
    </row>
    <row r="275" customFormat="false" ht="15" hidden="false" customHeight="true" outlineLevel="0" collapsed="false">
      <c r="A275" s="1" t="s">
        <v>36</v>
      </c>
      <c r="B275" s="1" t="s">
        <v>397</v>
      </c>
      <c r="C275" s="1" t="s">
        <v>157</v>
      </c>
      <c r="D275" s="1" t="n">
        <v>6.78</v>
      </c>
      <c r="E275" s="1" t="n">
        <v>0.5</v>
      </c>
      <c r="F275" s="1" t="n">
        <v>1</v>
      </c>
      <c r="G275" s="1" t="n">
        <v>3.39</v>
      </c>
      <c r="H275" s="1" t="s">
        <v>398</v>
      </c>
    </row>
    <row r="276" customFormat="false" ht="15" hidden="false" customHeight="true" outlineLevel="0" collapsed="false">
      <c r="A276" s="1" t="s">
        <v>36</v>
      </c>
      <c r="B276" s="1" t="s">
        <v>399</v>
      </c>
      <c r="C276" s="1" t="s">
        <v>157</v>
      </c>
      <c r="D276" s="1" t="n">
        <v>6.88</v>
      </c>
      <c r="E276" s="1" t="n">
        <v>0.5</v>
      </c>
      <c r="F276" s="1" t="n">
        <v>1</v>
      </c>
      <c r="G276" s="1" t="n">
        <v>3.44</v>
      </c>
      <c r="H276" s="1" t="s">
        <v>400</v>
      </c>
    </row>
    <row r="277" customFormat="false" ht="15" hidden="false" customHeight="true" outlineLevel="0" collapsed="false">
      <c r="A277" s="1" t="s">
        <v>37</v>
      </c>
      <c r="B277" s="1" t="s">
        <v>172</v>
      </c>
      <c r="C277" s="1" t="s">
        <v>157</v>
      </c>
      <c r="D277" s="1" t="n">
        <v>12.9</v>
      </c>
      <c r="E277" s="1" t="n">
        <v>0.5</v>
      </c>
      <c r="F277" s="1" t="n">
        <v>1</v>
      </c>
      <c r="G277" s="1" t="n">
        <v>6.45</v>
      </c>
      <c r="H277" s="1" t="s">
        <v>112</v>
      </c>
    </row>
    <row r="278" customFormat="false" ht="15" hidden="false" customHeight="true" outlineLevel="0" collapsed="false">
      <c r="A278" s="1" t="s">
        <v>38</v>
      </c>
      <c r="B278" s="1" t="s">
        <v>174</v>
      </c>
      <c r="C278" s="1" t="s">
        <v>157</v>
      </c>
      <c r="D278" s="1" t="n">
        <v>12.88</v>
      </c>
      <c r="E278" s="1" t="n">
        <v>1</v>
      </c>
      <c r="F278" s="1" t="n">
        <v>2</v>
      </c>
      <c r="G278" s="1" t="n">
        <v>25.75</v>
      </c>
      <c r="H278" s="1" t="s">
        <v>113</v>
      </c>
    </row>
    <row r="279" customFormat="false" ht="15" hidden="false" customHeight="true" outlineLevel="0" collapsed="false">
      <c r="A279" s="1" t="s">
        <v>39</v>
      </c>
      <c r="B279" s="1" t="s">
        <v>307</v>
      </c>
      <c r="C279" s="1" t="s">
        <v>164</v>
      </c>
      <c r="D279" s="1" t="n">
        <v>5.36</v>
      </c>
      <c r="E279" s="1" t="n">
        <v>2</v>
      </c>
      <c r="F279" s="1" t="n">
        <v>1</v>
      </c>
      <c r="G279" s="1" t="n">
        <v>10.72</v>
      </c>
      <c r="H279" s="1" t="s">
        <v>401</v>
      </c>
    </row>
    <row r="280" customFormat="false" ht="15" hidden="false" customHeight="true" outlineLevel="0" collapsed="false">
      <c r="A280" s="1" t="s">
        <v>40</v>
      </c>
      <c r="B280" s="1" t="s">
        <v>178</v>
      </c>
      <c r="C280" s="1" t="s">
        <v>164</v>
      </c>
      <c r="D280" s="1" t="n">
        <v>19.45</v>
      </c>
      <c r="E280" s="1" t="n">
        <v>15</v>
      </c>
      <c r="F280" s="1" t="n">
        <v>1</v>
      </c>
      <c r="G280" s="1" t="n">
        <v>291.75</v>
      </c>
      <c r="H280" s="1" t="s">
        <v>402</v>
      </c>
    </row>
    <row r="281" customFormat="false" ht="15" hidden="false" customHeight="true" outlineLevel="0" collapsed="false">
      <c r="A281" s="1" t="s">
        <v>40</v>
      </c>
      <c r="B281" s="1" t="s">
        <v>403</v>
      </c>
      <c r="C281" s="1" t="s">
        <v>157</v>
      </c>
      <c r="D281" s="1" t="n">
        <v>5.78</v>
      </c>
      <c r="E281" s="1" t="n">
        <v>1.5</v>
      </c>
      <c r="F281" s="1" t="n">
        <v>2</v>
      </c>
      <c r="G281" s="1" t="n">
        <v>17.32</v>
      </c>
      <c r="H281" s="1" t="s">
        <v>110</v>
      </c>
    </row>
    <row r="282" customFormat="false" ht="15" hidden="false" customHeight="true" outlineLevel="0" collapsed="false">
      <c r="A282" s="1" t="s">
        <v>41</v>
      </c>
      <c r="B282" s="1" t="s">
        <v>404</v>
      </c>
      <c r="C282" s="1" t="s">
        <v>405</v>
      </c>
      <c r="D282" s="1" t="n">
        <v>1</v>
      </c>
      <c r="E282" s="1" t="n">
        <v>35</v>
      </c>
      <c r="F282" s="1" t="n">
        <v>1</v>
      </c>
      <c r="G282" s="1" t="n">
        <v>35</v>
      </c>
      <c r="H282" s="1" t="s">
        <v>406</v>
      </c>
    </row>
    <row r="283" customFormat="false" ht="15" hidden="false" customHeight="true" outlineLevel="0" collapsed="false">
      <c r="A283" s="1" t="s">
        <v>41</v>
      </c>
      <c r="B283" s="1" t="s">
        <v>407</v>
      </c>
      <c r="C283" s="1" t="s">
        <v>179</v>
      </c>
      <c r="D283" s="1" t="n">
        <v>31</v>
      </c>
      <c r="E283" s="1" t="n">
        <v>0.5</v>
      </c>
      <c r="F283" s="1" t="n">
        <v>1</v>
      </c>
      <c r="G283" s="1" t="n">
        <v>15.5</v>
      </c>
      <c r="H283" s="1" t="s">
        <v>408</v>
      </c>
    </row>
    <row r="284" customFormat="false" ht="15" hidden="false" customHeight="true" outlineLevel="0" collapsed="false">
      <c r="A284" s="1" t="s">
        <v>41</v>
      </c>
      <c r="B284" s="1" t="s">
        <v>409</v>
      </c>
      <c r="C284" s="1" t="s">
        <v>179</v>
      </c>
      <c r="D284" s="1" t="n">
        <v>1</v>
      </c>
      <c r="E284" s="1" t="n">
        <v>35</v>
      </c>
      <c r="F284" s="1" t="n">
        <v>1</v>
      </c>
      <c r="G284" s="1" t="n">
        <v>35</v>
      </c>
      <c r="H284" s="1" t="s">
        <v>410</v>
      </c>
    </row>
    <row r="285" customFormat="false" ht="15" hidden="false" customHeight="true" outlineLevel="0" collapsed="false">
      <c r="A285" s="1" t="s">
        <v>42</v>
      </c>
      <c r="B285" s="1" t="s">
        <v>411</v>
      </c>
      <c r="C285" s="1" t="s">
        <v>179</v>
      </c>
      <c r="D285" s="1" t="n">
        <v>1</v>
      </c>
      <c r="E285" s="1" t="n">
        <v>200</v>
      </c>
      <c r="F285" s="1" t="n">
        <v>1</v>
      </c>
      <c r="G285" s="1" t="n">
        <v>200</v>
      </c>
      <c r="H285" s="1" t="s">
        <v>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true"/>
  </sheetPr>
  <dimension ref="A1:L13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21" activeCellId="0" sqref="K21"/>
    </sheetView>
  </sheetViews>
  <sheetFormatPr defaultColWidth="12.5703125" defaultRowHeight="15.75" zeroHeight="false" outlineLevelRow="1" outlineLevelCol="0"/>
  <cols>
    <col collapsed="false" customWidth="true" hidden="false" outlineLevel="0" max="1" min="1" style="1" width="29.71"/>
    <col collapsed="false" customWidth="true" hidden="false" outlineLevel="0" max="2" min="2" style="1" width="56.15"/>
    <col collapsed="false" customWidth="true" hidden="false" outlineLevel="0" max="3" min="3" style="1" width="70.15"/>
    <col collapsed="false" customWidth="true" hidden="false" outlineLevel="0" max="4" min="4" style="1" width="11"/>
    <col collapsed="false" customWidth="true" hidden="false" outlineLevel="0" max="5" min="5" style="1" width="10"/>
    <col collapsed="false" customWidth="true" hidden="false" outlineLevel="0" max="6" min="6" style="6" width="12.71"/>
    <col collapsed="false" customWidth="true" hidden="false" outlineLevel="0" max="7" min="7" style="1" width="12.42"/>
    <col collapsed="false" customWidth="true" hidden="false" outlineLevel="0" max="8" min="8" style="1" width="10.14"/>
    <col collapsed="false" customWidth="true" hidden="false" outlineLevel="0" max="9" min="9" style="1" width="8.71"/>
    <col collapsed="false" customWidth="true" hidden="false" outlineLevel="0" max="10" min="10" style="1" width="60"/>
  </cols>
  <sheetData>
    <row r="1" customFormat="false" ht="15" hidden="false" customHeight="true" outlineLevel="0" collapsed="false">
      <c r="A1" s="7" t="s">
        <v>0</v>
      </c>
      <c r="B1" s="7" t="s">
        <v>413</v>
      </c>
      <c r="C1" s="8" t="s">
        <v>414</v>
      </c>
      <c r="D1" s="9" t="s">
        <v>415</v>
      </c>
      <c r="E1" s="10" t="s">
        <v>151</v>
      </c>
      <c r="F1" s="11" t="s">
        <v>416</v>
      </c>
      <c r="G1" s="12" t="str">
        <f aca="false">'Dups+ B&amp;B Rates'!$D$1</f>
        <v>Цена, $</v>
      </c>
      <c r="H1" s="9" t="s">
        <v>1</v>
      </c>
      <c r="I1" s="13"/>
      <c r="J1" s="4" t="s">
        <v>417</v>
      </c>
      <c r="K1" s="2" t="s">
        <v>418</v>
      </c>
      <c r="L1" s="2" t="s">
        <v>419</v>
      </c>
    </row>
    <row r="2" customFormat="false" ht="15" hidden="false" customHeight="true" outlineLevel="0" collapsed="false">
      <c r="A2" s="14" t="s">
        <v>4</v>
      </c>
      <c r="B2" s="15" t="s">
        <v>420</v>
      </c>
      <c r="C2" s="15" t="s">
        <v>156</v>
      </c>
      <c r="D2" s="16" t="s">
        <v>157</v>
      </c>
      <c r="E2" s="17" t="n">
        <f aca="false">1.67*2.75-2.08*0.7</f>
        <v>3.1365</v>
      </c>
      <c r="F2" s="18" t="n">
        <v>1</v>
      </c>
      <c r="G2" s="12" t="n">
        <f aca="false">'Dups+ B&amp;B Rates'!$I$7</f>
        <v>4</v>
      </c>
      <c r="H2" s="19" t="n">
        <f aca="false">G2*F2*E2</f>
        <v>12.546</v>
      </c>
      <c r="I2" s="20"/>
      <c r="K2" s="21" t="n">
        <f aca="false">G2</f>
        <v>4</v>
      </c>
      <c r="L2" s="3" t="n">
        <f aca="false">K2*F2*E2</f>
        <v>12.546</v>
      </c>
    </row>
    <row r="3" customFormat="false" ht="15" hidden="false" customHeight="true" outlineLevel="0" collapsed="false">
      <c r="A3" s="14" t="s">
        <v>4</v>
      </c>
      <c r="B3" s="15" t="s">
        <v>421</v>
      </c>
      <c r="C3" s="15" t="s">
        <v>159</v>
      </c>
      <c r="D3" s="16" t="s">
        <v>157</v>
      </c>
      <c r="E3" s="17" t="n">
        <f aca="false">2.37*2.7-0.66*2.04</f>
        <v>5.0526</v>
      </c>
      <c r="F3" s="18" t="n">
        <v>1</v>
      </c>
      <c r="G3" s="12" t="n">
        <f aca="false">'Dups+ B&amp;B Rates'!$I$8</f>
        <v>8</v>
      </c>
      <c r="H3" s="22" t="n">
        <f aca="false">G3*F3*E3</f>
        <v>40.4208</v>
      </c>
      <c r="I3" s="20"/>
      <c r="K3" s="23" t="n">
        <f aca="false">Рынок!$D$8</f>
        <v>10.6446676867807</v>
      </c>
      <c r="L3" s="3" t="n">
        <f aca="false">K3*F3*E3</f>
        <v>53.7832479542279</v>
      </c>
    </row>
    <row r="4" customFormat="false" ht="15" hidden="false" customHeight="true" outlineLevel="0" collapsed="false">
      <c r="A4" s="14" t="s">
        <v>4</v>
      </c>
      <c r="B4" s="15" t="s">
        <v>422</v>
      </c>
      <c r="C4" s="15" t="s">
        <v>161</v>
      </c>
      <c r="D4" s="16" t="s">
        <v>157</v>
      </c>
      <c r="E4" s="17" t="n">
        <f aca="false">1.74*2.57</f>
        <v>4.4718</v>
      </c>
      <c r="F4" s="24" t="n">
        <v>1</v>
      </c>
      <c r="G4" s="12" t="n">
        <f aca="false">'Dups+ B&amp;B Rates'!$I$9</f>
        <v>9</v>
      </c>
      <c r="H4" s="22" t="n">
        <f aca="false">G4*F4*E4</f>
        <v>40.2462</v>
      </c>
      <c r="I4" s="20"/>
      <c r="K4" s="23" t="n">
        <f aca="false">Рынок!$D$9</f>
        <v>10.6446676867807</v>
      </c>
      <c r="L4" s="3" t="n">
        <f aca="false">K4*F4*E4</f>
        <v>47.6008249617457</v>
      </c>
    </row>
    <row r="5" customFormat="false" ht="15" hidden="false" customHeight="true" outlineLevel="0" collapsed="false">
      <c r="A5" s="14" t="s">
        <v>4</v>
      </c>
      <c r="B5" s="25" t="s">
        <v>423</v>
      </c>
      <c r="C5" s="15" t="s">
        <v>163</v>
      </c>
      <c r="D5" s="16" t="s">
        <v>424</v>
      </c>
      <c r="E5" s="17" t="n">
        <f aca="false">(1.74+2.57)*2+2.7*6+1.74*2</f>
        <v>28.3</v>
      </c>
      <c r="F5" s="24" t="n">
        <v>1</v>
      </c>
      <c r="G5" s="12" t="n">
        <f aca="false">'Dups+ B&amp;B Rates'!$I$19</f>
        <v>2</v>
      </c>
      <c r="H5" s="22" t="n">
        <f aca="false">G5*F5*E5</f>
        <v>56.6</v>
      </c>
      <c r="I5" s="20"/>
      <c r="K5" s="21" t="n">
        <f aca="false">G5</f>
        <v>2</v>
      </c>
      <c r="L5" s="3" t="n">
        <f aca="false">K5*F5*E5</f>
        <v>56.6</v>
      </c>
    </row>
    <row r="6" customFormat="false" ht="15" hidden="false" customHeight="true" outlineLevel="0" collapsed="false">
      <c r="A6" s="14" t="s">
        <v>4</v>
      </c>
      <c r="B6" s="15" t="s">
        <v>205</v>
      </c>
      <c r="C6" s="15" t="s">
        <v>166</v>
      </c>
      <c r="D6" s="16" t="s">
        <v>424</v>
      </c>
      <c r="E6" s="17" t="n">
        <f aca="false">(1.74+2.57)*2+1.74*2</f>
        <v>12.1</v>
      </c>
      <c r="F6" s="24" t="n">
        <v>1</v>
      </c>
      <c r="G6" s="12" t="n">
        <f aca="false">'Dups+ B&amp;B Rates'!$I$27</f>
        <v>4</v>
      </c>
      <c r="H6" s="22" t="n">
        <f aca="false">G6*F6*E6</f>
        <v>48.4</v>
      </c>
      <c r="I6" s="20"/>
      <c r="J6" s="26" t="s">
        <v>425</v>
      </c>
      <c r="K6" s="21" t="n">
        <f aca="false">G6</f>
        <v>4</v>
      </c>
      <c r="L6" s="3" t="n">
        <f aca="false">K6*F6*E6</f>
        <v>48.4</v>
      </c>
    </row>
    <row r="7" customFormat="false" ht="15" hidden="false" customHeight="true" outlineLevel="0" collapsed="false">
      <c r="A7" s="14" t="s">
        <v>4</v>
      </c>
      <c r="B7" s="15" t="s">
        <v>207</v>
      </c>
      <c r="C7" s="15" t="s">
        <v>168</v>
      </c>
      <c r="D7" s="16" t="s">
        <v>424</v>
      </c>
      <c r="E7" s="17" t="n">
        <f aca="false">2.7*6+0.65*2</f>
        <v>17.5</v>
      </c>
      <c r="F7" s="24" t="n">
        <v>1</v>
      </c>
      <c r="G7" s="12" t="n">
        <f aca="false">'Dups+ B&amp;B Rates'!$I$28</f>
        <v>3</v>
      </c>
      <c r="H7" s="22" t="n">
        <f aca="false">G7*F7*E7</f>
        <v>52.5</v>
      </c>
      <c r="I7" s="20"/>
      <c r="J7" s="26" t="s">
        <v>425</v>
      </c>
      <c r="K7" s="21" t="n">
        <f aca="false">G7</f>
        <v>3</v>
      </c>
      <c r="L7" s="3" t="n">
        <f aca="false">K7*F7*E7</f>
        <v>52.5</v>
      </c>
    </row>
    <row r="8" customFormat="false" ht="15" hidden="false" customHeight="true" outlineLevel="0" collapsed="false">
      <c r="A8" s="14" t="s">
        <v>4</v>
      </c>
      <c r="B8" s="15" t="s">
        <v>426</v>
      </c>
      <c r="C8" s="15" t="s">
        <v>170</v>
      </c>
      <c r="D8" s="16" t="s">
        <v>424</v>
      </c>
      <c r="E8" s="17" t="n">
        <f aca="false">(2.04+0.66+2.04)*2</f>
        <v>9.48</v>
      </c>
      <c r="F8" s="24" t="n">
        <v>1</v>
      </c>
      <c r="G8" s="12" t="n">
        <f aca="false">'Dups+ B&amp;B Rates'!$I$22</f>
        <v>2.5</v>
      </c>
      <c r="H8" s="22" t="n">
        <f aca="false">G8*F8*E8</f>
        <v>23.7</v>
      </c>
      <c r="I8" s="20"/>
      <c r="K8" s="21" t="n">
        <f aca="false">G8</f>
        <v>2.5</v>
      </c>
      <c r="L8" s="3" t="n">
        <f aca="false">K8*F8*E8</f>
        <v>23.7</v>
      </c>
    </row>
    <row r="9" customFormat="false" ht="15" hidden="false" customHeight="true" outlineLevel="0" collapsed="false">
      <c r="A9" s="14" t="s">
        <v>4</v>
      </c>
      <c r="B9" s="15" t="s">
        <v>427</v>
      </c>
      <c r="C9" s="15" t="s">
        <v>428</v>
      </c>
      <c r="D9" s="16" t="s">
        <v>424</v>
      </c>
      <c r="E9" s="17" t="n">
        <f aca="false">E8/2</f>
        <v>4.74</v>
      </c>
      <c r="F9" s="24" t="n">
        <v>1</v>
      </c>
      <c r="G9" s="27"/>
      <c r="H9" s="28"/>
      <c r="I9" s="20"/>
      <c r="J9" s="1" t="s">
        <v>429</v>
      </c>
    </row>
    <row r="10" customFormat="false" ht="15" hidden="false" customHeight="true" outlineLevel="0" collapsed="false">
      <c r="A10" s="14" t="s">
        <v>4</v>
      </c>
      <c r="B10" s="15" t="s">
        <v>430</v>
      </c>
      <c r="C10" s="15" t="s">
        <v>172</v>
      </c>
      <c r="D10" s="16" t="s">
        <v>157</v>
      </c>
      <c r="E10" s="17" t="n">
        <f aca="false">E2+E3+(2.7*(1.74+2.1))</f>
        <v>18.5571</v>
      </c>
      <c r="F10" s="24" t="n">
        <v>1</v>
      </c>
      <c r="G10" s="12" t="n">
        <f aca="false">'Dups+ B&amp;B Rates'!$I$3</f>
        <v>0.5</v>
      </c>
      <c r="H10" s="22" t="n">
        <f aca="false">G10*F10*E10</f>
        <v>9.27855</v>
      </c>
      <c r="I10" s="20"/>
      <c r="K10" s="23" t="n">
        <f aca="false">Рынок!$D$3</f>
        <v>0.665291730423791</v>
      </c>
      <c r="L10" s="3" t="n">
        <f aca="false">K10*F10*E10</f>
        <v>12.3458851706473</v>
      </c>
    </row>
    <row r="11" customFormat="false" ht="15" hidden="false" customHeight="true" outlineLevel="0" collapsed="false">
      <c r="A11" s="14" t="s">
        <v>4</v>
      </c>
      <c r="B11" s="15" t="s">
        <v>431</v>
      </c>
      <c r="C11" s="15" t="s">
        <v>172</v>
      </c>
      <c r="D11" s="16" t="s">
        <v>157</v>
      </c>
      <c r="E11" s="17" t="n">
        <f aca="false">1.74*2.57</f>
        <v>4.4718</v>
      </c>
      <c r="F11" s="24" t="n">
        <v>1</v>
      </c>
      <c r="G11" s="12" t="n">
        <f aca="false">'Dups+ B&amp;B Rates'!$I$3</f>
        <v>0.5</v>
      </c>
      <c r="H11" s="29" t="n">
        <f aca="false">G11*F11*E11</f>
        <v>2.2359</v>
      </c>
      <c r="I11" s="20"/>
      <c r="K11" s="23" t="n">
        <f aca="false">Рынок!$D$3</f>
        <v>0.665291730423791</v>
      </c>
      <c r="L11" s="3" t="n">
        <f aca="false">K11*F11*E11</f>
        <v>2.97505156010911</v>
      </c>
    </row>
    <row r="12" customFormat="false" ht="15" hidden="false" customHeight="true" outlineLevel="0" collapsed="false">
      <c r="A12" s="14" t="s">
        <v>4</v>
      </c>
      <c r="B12" s="15" t="s">
        <v>174</v>
      </c>
      <c r="C12" s="15" t="s">
        <v>174</v>
      </c>
      <c r="D12" s="16" t="s">
        <v>157</v>
      </c>
      <c r="E12" s="17" t="n">
        <f aca="false">E10</f>
        <v>18.5571</v>
      </c>
      <c r="F12" s="24" t="n">
        <v>2</v>
      </c>
      <c r="G12" s="12" t="n">
        <f aca="false">'Dups+ B&amp;B Rates'!$I$18</f>
        <v>1</v>
      </c>
      <c r="H12" s="29" t="n">
        <f aca="false">G12*F12*E12</f>
        <v>37.1142</v>
      </c>
      <c r="I12" s="20"/>
      <c r="K12" s="21" t="n">
        <f aca="false">G12</f>
        <v>1</v>
      </c>
      <c r="L12" s="3" t="n">
        <f aca="false">K12*F12*E12</f>
        <v>37.1142</v>
      </c>
    </row>
    <row r="13" customFormat="false" ht="15" hidden="false" customHeight="true" outlineLevel="0" collapsed="false">
      <c r="A13" s="14" t="s">
        <v>4</v>
      </c>
      <c r="B13" s="15" t="s">
        <v>175</v>
      </c>
      <c r="C13" s="30" t="s">
        <v>175</v>
      </c>
      <c r="D13" s="16" t="s">
        <v>157</v>
      </c>
      <c r="E13" s="17" t="n">
        <f aca="false">1.74*2.57</f>
        <v>4.4718</v>
      </c>
      <c r="F13" s="24" t="n">
        <v>2</v>
      </c>
      <c r="G13" s="12" t="n">
        <f aca="false">'Dups+ B&amp;B Rates'!$I$17</f>
        <v>1.5</v>
      </c>
      <c r="H13" s="22" t="n">
        <f aca="false">G13*F13*E13</f>
        <v>13.4154</v>
      </c>
      <c r="I13" s="20"/>
      <c r="K13" s="21" t="n">
        <f aca="false">G13</f>
        <v>1.5</v>
      </c>
      <c r="L13" s="3" t="n">
        <f aca="false">K13*F13*E13</f>
        <v>13.4154</v>
      </c>
    </row>
    <row r="14" customFormat="false" ht="35.25" hidden="false" customHeight="true" outlineLevel="0" collapsed="false">
      <c r="A14" s="31" t="s">
        <v>4</v>
      </c>
      <c r="B14" s="32" t="s">
        <v>432</v>
      </c>
      <c r="C14" s="33" t="s">
        <v>176</v>
      </c>
      <c r="D14" s="34" t="s">
        <v>157</v>
      </c>
      <c r="E14" s="35" t="n">
        <f aca="false">2.06*0.2</f>
        <v>0.412</v>
      </c>
      <c r="F14" s="36" t="n">
        <v>1</v>
      </c>
      <c r="G14" s="37" t="n">
        <f aca="false">'Dups+ B&amp;B Rates'!$I$23</f>
        <v>15</v>
      </c>
      <c r="H14" s="38" t="n">
        <f aca="false">G14*F14*E14</f>
        <v>6.18</v>
      </c>
      <c r="I14" s="39"/>
      <c r="K14" s="21" t="n">
        <f aca="false">G14</f>
        <v>15</v>
      </c>
      <c r="L14" s="3" t="n">
        <f aca="false">K14*F14*E14</f>
        <v>6.18</v>
      </c>
    </row>
    <row r="15" customFormat="false" ht="15" hidden="false" customHeight="true" outlineLevel="0" collapsed="false">
      <c r="A15" s="40" t="s">
        <v>5</v>
      </c>
      <c r="B15" s="15" t="s">
        <v>433</v>
      </c>
      <c r="C15" s="15" t="s">
        <v>433</v>
      </c>
      <c r="D15" s="16" t="s">
        <v>157</v>
      </c>
      <c r="E15" s="41" t="n">
        <f aca="false">2.08*1.68</f>
        <v>3.4944</v>
      </c>
      <c r="F15" s="24" t="n">
        <v>1</v>
      </c>
      <c r="G15" s="27"/>
      <c r="H15" s="28"/>
      <c r="I15" s="20"/>
      <c r="J15" s="1" t="s">
        <v>434</v>
      </c>
    </row>
    <row r="16" customFormat="false" ht="15" hidden="false" customHeight="true" outlineLevel="0" collapsed="false">
      <c r="A16" s="42" t="s">
        <v>6</v>
      </c>
      <c r="B16" s="15" t="s">
        <v>435</v>
      </c>
      <c r="C16" s="15" t="s">
        <v>178</v>
      </c>
      <c r="D16" s="16" t="s">
        <v>436</v>
      </c>
      <c r="E16" s="17" t="n">
        <v>1</v>
      </c>
      <c r="F16" s="24" t="n">
        <v>1</v>
      </c>
      <c r="G16" s="12" t="n">
        <f aca="false">'Dups+ B&amp;B Rates'!$I$31</f>
        <v>15</v>
      </c>
      <c r="H16" s="22" t="n">
        <f aca="false">G16*F16*E16</f>
        <v>15</v>
      </c>
      <c r="I16" s="20"/>
      <c r="K16" s="21" t="n">
        <f aca="false">G16</f>
        <v>15</v>
      </c>
      <c r="L16" s="3" t="n">
        <f aca="false">K16*F16*E16</f>
        <v>15</v>
      </c>
    </row>
    <row r="17" customFormat="false" ht="15" hidden="false" customHeight="true" outlineLevel="0" collapsed="false">
      <c r="A17" s="42" t="s">
        <v>6</v>
      </c>
      <c r="B17" s="15" t="s">
        <v>437</v>
      </c>
      <c r="C17" s="15" t="s">
        <v>168</v>
      </c>
      <c r="D17" s="16" t="s">
        <v>157</v>
      </c>
      <c r="E17" s="17" t="n">
        <f aca="false">4*2.75</f>
        <v>11</v>
      </c>
      <c r="F17" s="24" t="n">
        <v>1</v>
      </c>
      <c r="G17" s="12" t="n">
        <f aca="false">'Dups+ B&amp;B Rates'!$I$28</f>
        <v>3</v>
      </c>
      <c r="H17" s="22" t="n">
        <f aca="false">G17*F17*E17</f>
        <v>33</v>
      </c>
      <c r="I17" s="20"/>
      <c r="K17" s="21" t="n">
        <f aca="false">G17</f>
        <v>3</v>
      </c>
      <c r="L17" s="3" t="n">
        <f aca="false">K17*F17*E17</f>
        <v>33</v>
      </c>
    </row>
    <row r="18" customFormat="false" ht="15" hidden="false" customHeight="true" outlineLevel="0" collapsed="false">
      <c r="A18" s="42" t="s">
        <v>6</v>
      </c>
      <c r="B18" s="15" t="s">
        <v>438</v>
      </c>
      <c r="C18" s="15" t="s">
        <v>172</v>
      </c>
      <c r="D18" s="16" t="s">
        <v>157</v>
      </c>
      <c r="E18" s="41" t="n">
        <f aca="false">E17</f>
        <v>11</v>
      </c>
      <c r="F18" s="24" t="n">
        <v>1</v>
      </c>
      <c r="G18" s="12" t="n">
        <f aca="false">'Dups+ B&amp;B Rates'!$I$3</f>
        <v>0.5</v>
      </c>
      <c r="H18" s="22" t="n">
        <f aca="false">G18*F18*E18</f>
        <v>5.5</v>
      </c>
      <c r="I18" s="20"/>
      <c r="K18" s="23" t="n">
        <f aca="false">Рынок!$D$3</f>
        <v>0.665291730423791</v>
      </c>
      <c r="L18" s="3" t="n">
        <f aca="false">K18*F18*E18</f>
        <v>7.3182090346617</v>
      </c>
    </row>
    <row r="19" customFormat="false" ht="15" hidden="false" customHeight="true" outlineLevel="0" collapsed="false">
      <c r="A19" s="42" t="s">
        <v>6</v>
      </c>
      <c r="B19" s="15" t="s">
        <v>439</v>
      </c>
      <c r="C19" s="30" t="s">
        <v>174</v>
      </c>
      <c r="D19" s="16" t="s">
        <v>157</v>
      </c>
      <c r="E19" s="17" t="n">
        <f aca="false">E18</f>
        <v>11</v>
      </c>
      <c r="F19" s="24" t="n">
        <v>2</v>
      </c>
      <c r="G19" s="12" t="n">
        <f aca="false">'Dups+ B&amp;B Rates'!$I$18</f>
        <v>1</v>
      </c>
      <c r="H19" s="22" t="n">
        <f aca="false">G19*F19*E19</f>
        <v>22</v>
      </c>
      <c r="I19" s="20"/>
      <c r="K19" s="21" t="n">
        <f aca="false">G19</f>
        <v>1</v>
      </c>
      <c r="L19" s="3" t="n">
        <f aca="false">K19*F19*E19</f>
        <v>22</v>
      </c>
    </row>
    <row r="20" customFormat="false" ht="15" hidden="false" customHeight="true" outlineLevel="0" collapsed="false">
      <c r="A20" s="42" t="s">
        <v>6</v>
      </c>
      <c r="B20" s="15" t="s">
        <v>182</v>
      </c>
      <c r="C20" s="15" t="s">
        <v>182</v>
      </c>
      <c r="D20" s="16" t="s">
        <v>424</v>
      </c>
      <c r="E20" s="35" t="n">
        <f aca="false">(348+475)*2/100</f>
        <v>16.46</v>
      </c>
      <c r="F20" s="24" t="n">
        <v>1</v>
      </c>
      <c r="G20" s="12" t="n">
        <f aca="false">'Dups+ B&amp;B Rates'!$I$11</f>
        <v>3</v>
      </c>
      <c r="H20" s="22" t="n">
        <f aca="false">G20*F20*E20</f>
        <v>49.38</v>
      </c>
      <c r="I20" s="20"/>
      <c r="K20" s="23" t="n">
        <f aca="false">Рынок!$D$5</f>
        <v>3.32645865211895</v>
      </c>
      <c r="L20" s="3" t="n">
        <f aca="false">K20*F20*E20</f>
        <v>54.753509413878</v>
      </c>
    </row>
    <row r="21" customFormat="false" ht="15" hidden="false" customHeight="true" outlineLevel="0" collapsed="false">
      <c r="A21" s="42" t="s">
        <v>6</v>
      </c>
      <c r="B21" s="15" t="s">
        <v>440</v>
      </c>
      <c r="C21" s="30" t="s">
        <v>175</v>
      </c>
      <c r="D21" s="16" t="s">
        <v>424</v>
      </c>
      <c r="E21" s="35" t="n">
        <f aca="false">(348+475)*2/100</f>
        <v>16.46</v>
      </c>
      <c r="F21" s="24" t="n">
        <v>2</v>
      </c>
      <c r="G21" s="12" t="n">
        <f aca="false">'Dups+ B&amp;B Rates'!$I$17</f>
        <v>1.5</v>
      </c>
      <c r="H21" s="22" t="n">
        <f aca="false">G21*F21*E21</f>
        <v>49.38</v>
      </c>
      <c r="I21" s="20"/>
      <c r="J21" s="26" t="s">
        <v>425</v>
      </c>
      <c r="K21" s="21" t="n">
        <f aca="false">G21</f>
        <v>1.5</v>
      </c>
      <c r="L21" s="3" t="n">
        <f aca="false">K21*F21*E21</f>
        <v>49.38</v>
      </c>
    </row>
    <row r="22" customFormat="false" ht="15" hidden="false" customHeight="true" outlineLevel="0" collapsed="false">
      <c r="A22" s="42" t="s">
        <v>6</v>
      </c>
      <c r="B22" s="15" t="s">
        <v>441</v>
      </c>
      <c r="C22" s="15" t="s">
        <v>166</v>
      </c>
      <c r="D22" s="16" t="s">
        <v>157</v>
      </c>
      <c r="E22" s="35" t="n">
        <v>1</v>
      </c>
      <c r="F22" s="24" t="n">
        <v>1</v>
      </c>
      <c r="G22" s="12" t="n">
        <f aca="false">'Dups+ B&amp;B Rates'!$I$27</f>
        <v>4</v>
      </c>
      <c r="H22" s="22" t="n">
        <f aca="false">G22*F22*E22</f>
        <v>4</v>
      </c>
      <c r="I22" s="20"/>
      <c r="K22" s="21" t="n">
        <f aca="false">G22</f>
        <v>4</v>
      </c>
      <c r="L22" s="3" t="n">
        <f aca="false">K22*F22*E22</f>
        <v>4</v>
      </c>
    </row>
    <row r="23" customFormat="false" ht="15" hidden="false" customHeight="true" outlineLevel="0" collapsed="false">
      <c r="A23" s="42" t="s">
        <v>6</v>
      </c>
      <c r="B23" s="15" t="s">
        <v>442</v>
      </c>
      <c r="C23" s="15" t="s">
        <v>166</v>
      </c>
      <c r="D23" s="16" t="s">
        <v>436</v>
      </c>
      <c r="E23" s="35" t="n">
        <v>1</v>
      </c>
      <c r="F23" s="24" t="n">
        <v>1</v>
      </c>
      <c r="G23" s="12" t="n">
        <f aca="false">'Dups+ B&amp;B Rates'!$I$27</f>
        <v>4</v>
      </c>
      <c r="H23" s="22" t="n">
        <f aca="false">G23*F23*E23</f>
        <v>4</v>
      </c>
      <c r="I23" s="20"/>
      <c r="J23" s="26" t="s">
        <v>443</v>
      </c>
      <c r="K23" s="21" t="n">
        <f aca="false">G23</f>
        <v>4</v>
      </c>
      <c r="L23" s="3" t="n">
        <f aca="false">K23*F23*E23</f>
        <v>4</v>
      </c>
    </row>
    <row r="24" customFormat="false" ht="15" hidden="false" customHeight="true" outlineLevel="0" collapsed="false">
      <c r="A24" s="42" t="s">
        <v>6</v>
      </c>
      <c r="B24" s="15" t="s">
        <v>444</v>
      </c>
      <c r="C24" s="15" t="s">
        <v>187</v>
      </c>
      <c r="D24" s="16" t="s">
        <v>157</v>
      </c>
      <c r="E24" s="35" t="n">
        <f aca="false">3.48*4.75</f>
        <v>16.53</v>
      </c>
      <c r="F24" s="24" t="n">
        <v>1</v>
      </c>
      <c r="G24" s="12" t="n">
        <f aca="false">'Dups+ B&amp;B Rates'!$I$3</f>
        <v>0.5</v>
      </c>
      <c r="H24" s="22" t="n">
        <f aca="false">G24*F24*E24</f>
        <v>8.265</v>
      </c>
      <c r="I24" s="20"/>
      <c r="K24" s="23" t="n">
        <f aca="false">Рынок!$D$3</f>
        <v>0.665291730423791</v>
      </c>
      <c r="L24" s="3" t="n">
        <f aca="false">K24*F24*E24</f>
        <v>10.9972723039053</v>
      </c>
    </row>
    <row r="25" customFormat="false" ht="15" hidden="false" customHeight="true" outlineLevel="0" collapsed="false">
      <c r="A25" s="42" t="s">
        <v>6</v>
      </c>
      <c r="B25" s="15" t="s">
        <v>175</v>
      </c>
      <c r="C25" s="30" t="s">
        <v>175</v>
      </c>
      <c r="D25" s="16" t="s">
        <v>157</v>
      </c>
      <c r="E25" s="35" t="n">
        <f aca="false">E24</f>
        <v>16.53</v>
      </c>
      <c r="F25" s="24" t="n">
        <v>2</v>
      </c>
      <c r="G25" s="12" t="n">
        <f aca="false">'Dups+ B&amp;B Rates'!$I$17</f>
        <v>1.5</v>
      </c>
      <c r="H25" s="22" t="n">
        <f aca="false">G25*F25*E25</f>
        <v>49.59</v>
      </c>
      <c r="I25" s="20"/>
      <c r="K25" s="21" t="n">
        <f aca="false">G25</f>
        <v>1.5</v>
      </c>
      <c r="L25" s="3" t="n">
        <f aca="false">K25*F25*E25</f>
        <v>49.59</v>
      </c>
    </row>
    <row r="26" customFormat="false" ht="18.75" hidden="false" customHeight="true" outlineLevel="0" collapsed="false">
      <c r="A26" s="42" t="s">
        <v>6</v>
      </c>
      <c r="B26" s="15" t="s">
        <v>445</v>
      </c>
      <c r="C26" s="33" t="s">
        <v>188</v>
      </c>
      <c r="D26" s="16" t="s">
        <v>157</v>
      </c>
      <c r="E26" s="35" t="n">
        <v>1</v>
      </c>
      <c r="F26" s="36" t="n">
        <v>1</v>
      </c>
      <c r="G26" s="12" t="n">
        <f aca="false">'Dups+ B&amp;B Rates'!$I$33</f>
        <v>5</v>
      </c>
      <c r="H26" s="22" t="n">
        <f aca="false">G26*F26*E26</f>
        <v>5</v>
      </c>
      <c r="I26" s="20"/>
      <c r="K26" s="21" t="n">
        <f aca="false">G26</f>
        <v>5</v>
      </c>
      <c r="L26" s="3" t="n">
        <f aca="false">K26*F26*E26</f>
        <v>5</v>
      </c>
    </row>
    <row r="27" customFormat="false" ht="15" hidden="false" customHeight="true" outlineLevel="0" collapsed="false">
      <c r="A27" s="43" t="s">
        <v>7</v>
      </c>
      <c r="B27" s="15" t="s">
        <v>175</v>
      </c>
      <c r="C27" s="30" t="s">
        <v>175</v>
      </c>
      <c r="D27" s="16" t="s">
        <v>157</v>
      </c>
      <c r="E27" s="35" t="n">
        <f aca="false">0.63*2.4+(4.43*3.65)+(0.43*1.93)+(1.93*1.38)</f>
        <v>21.1748</v>
      </c>
      <c r="F27" s="24" t="n">
        <v>1</v>
      </c>
      <c r="G27" s="12" t="n">
        <f aca="false">'Dups+ B&amp;B Rates'!$I$17</f>
        <v>1.5</v>
      </c>
      <c r="H27" s="22" t="n">
        <f aca="false">G27*F27*E27</f>
        <v>31.7622</v>
      </c>
      <c r="I27" s="20"/>
      <c r="K27" s="21" t="n">
        <f aca="false">G27</f>
        <v>1.5</v>
      </c>
      <c r="L27" s="3" t="n">
        <f aca="false">K27*F27*E27</f>
        <v>31.7622</v>
      </c>
    </row>
    <row r="28" customFormat="false" ht="15" hidden="false" customHeight="true" outlineLevel="0" collapsed="false">
      <c r="A28" s="43" t="s">
        <v>7</v>
      </c>
      <c r="B28" s="15" t="s">
        <v>174</v>
      </c>
      <c r="C28" s="30" t="s">
        <v>174</v>
      </c>
      <c r="D28" s="16" t="s">
        <v>157</v>
      </c>
      <c r="E28" s="35" t="n">
        <f aca="false">(0.42+0.33+1.86+0.65+0.46+1.27+1.77+0.67+3.15+2.02+0.62+1.48+0.75)*2.64+(1.13*0.62+(1.23*0.2+(1.92*0.25+(1.17*0.52+(0.88*0.6)))))</f>
        <v>43.351</v>
      </c>
      <c r="F28" s="24" t="n">
        <v>2</v>
      </c>
      <c r="G28" s="12" t="n">
        <f aca="false">'Dups+ B&amp;B Rates'!$I$18</f>
        <v>1</v>
      </c>
      <c r="H28" s="22" t="n">
        <f aca="false">G28*F28*E28</f>
        <v>86.702</v>
      </c>
      <c r="I28" s="20"/>
      <c r="K28" s="21" t="n">
        <f aca="false">G28</f>
        <v>1</v>
      </c>
      <c r="L28" s="3" t="n">
        <f aca="false">K28*F28*E28</f>
        <v>86.702</v>
      </c>
    </row>
    <row r="29" customFormat="false" ht="15" hidden="false" customHeight="true" outlineLevel="0" collapsed="false">
      <c r="A29" s="43" t="s">
        <v>8</v>
      </c>
      <c r="B29" s="15" t="s">
        <v>446</v>
      </c>
      <c r="C29" s="30" t="s">
        <v>170</v>
      </c>
      <c r="D29" s="16" t="s">
        <v>424</v>
      </c>
      <c r="E29" s="35" t="n">
        <v>3.8</v>
      </c>
      <c r="F29" s="24" t="n">
        <v>1</v>
      </c>
      <c r="G29" s="12" t="n">
        <f aca="false">'Dups+ B&amp;B Rates'!$I$22</f>
        <v>2.5</v>
      </c>
      <c r="H29" s="22" t="n">
        <f aca="false">G29*F29*E29</f>
        <v>9.5</v>
      </c>
      <c r="I29" s="20"/>
      <c r="K29" s="21" t="n">
        <f aca="false">G29</f>
        <v>2.5</v>
      </c>
      <c r="L29" s="3" t="n">
        <f aca="false">K29*F29*E29</f>
        <v>9.5</v>
      </c>
    </row>
    <row r="30" customFormat="false" ht="15" hidden="false" customHeight="true" outlineLevel="0" collapsed="false">
      <c r="A30" s="43" t="s">
        <v>7</v>
      </c>
      <c r="B30" s="15" t="s">
        <v>447</v>
      </c>
      <c r="C30" s="30" t="s">
        <v>170</v>
      </c>
      <c r="D30" s="16" t="s">
        <v>424</v>
      </c>
      <c r="E30" s="35" t="n">
        <f aca="false">E29</f>
        <v>3.8</v>
      </c>
      <c r="F30" s="24" t="n">
        <v>1</v>
      </c>
      <c r="G30" s="12" t="n">
        <f aca="false">'Dups+ B&amp;B Rates'!$I$22</f>
        <v>2.5</v>
      </c>
      <c r="H30" s="22" t="n">
        <f aca="false">G30*F30*E30</f>
        <v>9.5</v>
      </c>
      <c r="I30" s="20"/>
      <c r="K30" s="21" t="n">
        <f aca="false">G30</f>
        <v>2.5</v>
      </c>
      <c r="L30" s="3" t="n">
        <f aca="false">K30*F30*E30</f>
        <v>9.5</v>
      </c>
    </row>
    <row r="31" customFormat="false" ht="15" hidden="false" customHeight="true" outlineLevel="0" collapsed="false">
      <c r="A31" s="43" t="s">
        <v>7</v>
      </c>
      <c r="B31" s="44" t="s">
        <v>448</v>
      </c>
      <c r="C31" s="30" t="s">
        <v>449</v>
      </c>
      <c r="D31" s="16" t="s">
        <v>424</v>
      </c>
      <c r="E31" s="35" t="n">
        <f aca="false">1.8+1.3*2</f>
        <v>4.4</v>
      </c>
      <c r="F31" s="24" t="n">
        <v>1</v>
      </c>
      <c r="G31" s="27"/>
      <c r="H31" s="28"/>
      <c r="I31" s="20"/>
      <c r="J31" s="1" t="s">
        <v>450</v>
      </c>
    </row>
    <row r="32" customFormat="false" ht="15" hidden="false" customHeight="true" outlineLevel="0" collapsed="false">
      <c r="A32" s="43" t="s">
        <v>7</v>
      </c>
      <c r="B32" s="15" t="s">
        <v>435</v>
      </c>
      <c r="C32" s="15" t="s">
        <v>178</v>
      </c>
      <c r="D32" s="16" t="s">
        <v>436</v>
      </c>
      <c r="E32" s="17" t="n">
        <v>3</v>
      </c>
      <c r="F32" s="24" t="n">
        <v>1</v>
      </c>
      <c r="G32" s="12" t="n">
        <f aca="false">'Dups+ B&amp;B Rates'!$I$31</f>
        <v>15</v>
      </c>
      <c r="H32" s="22" t="n">
        <f aca="false">G32*F32*E32</f>
        <v>45</v>
      </c>
      <c r="I32" s="20"/>
      <c r="K32" s="21" t="n">
        <f aca="false">G32</f>
        <v>15</v>
      </c>
      <c r="L32" s="3" t="n">
        <f aca="false">K32*F32*E32</f>
        <v>45</v>
      </c>
    </row>
    <row r="33" customFormat="false" ht="15" hidden="false" customHeight="true" outlineLevel="0" collapsed="false">
      <c r="A33" s="43" t="s">
        <v>7</v>
      </c>
      <c r="B33" s="44" t="s">
        <v>451</v>
      </c>
      <c r="C33" s="30" t="s">
        <v>452</v>
      </c>
      <c r="D33" s="16" t="s">
        <v>424</v>
      </c>
      <c r="E33" s="35" t="n">
        <v>2</v>
      </c>
      <c r="F33" s="24" t="n">
        <v>1</v>
      </c>
      <c r="G33" s="27"/>
      <c r="H33" s="28"/>
      <c r="I33" s="20"/>
      <c r="J33" s="1" t="s">
        <v>453</v>
      </c>
    </row>
    <row r="34" customFormat="false" ht="15" hidden="false" customHeight="true" outlineLevel="0" collapsed="false">
      <c r="A34" s="45" t="s">
        <v>9</v>
      </c>
      <c r="B34" s="15" t="s">
        <v>454</v>
      </c>
      <c r="C34" s="15" t="s">
        <v>193</v>
      </c>
      <c r="D34" s="16" t="s">
        <v>436</v>
      </c>
      <c r="E34" s="35" t="n">
        <v>1</v>
      </c>
      <c r="F34" s="24" t="n">
        <v>1</v>
      </c>
      <c r="G34" s="12" t="n">
        <f aca="false">'Dups+ B&amp;B Rates'!$I$4</f>
        <v>5</v>
      </c>
      <c r="H34" s="22" t="n">
        <f aca="false">G34*F34*E34</f>
        <v>5</v>
      </c>
      <c r="I34" s="20"/>
      <c r="K34" s="23" t="n">
        <f aca="false">Рынок!$D$4</f>
        <v>13.3058346084758</v>
      </c>
      <c r="L34" s="3" t="n">
        <f aca="false">K34*F34*E34</f>
        <v>13.3058346084758</v>
      </c>
    </row>
    <row r="35" customFormat="false" ht="15" hidden="false" customHeight="true" outlineLevel="0" collapsed="false">
      <c r="A35" s="45" t="s">
        <v>9</v>
      </c>
      <c r="B35" s="15" t="s">
        <v>455</v>
      </c>
      <c r="C35" s="15"/>
      <c r="D35" s="16" t="s">
        <v>436</v>
      </c>
      <c r="E35" s="35" t="n">
        <v>1</v>
      </c>
      <c r="F35" s="24" t="n">
        <v>1</v>
      </c>
      <c r="G35" s="12"/>
      <c r="H35" s="22"/>
      <c r="I35" s="20"/>
      <c r="J35" s="1" t="s">
        <v>456</v>
      </c>
    </row>
    <row r="36" customFormat="false" ht="15" hidden="false" customHeight="true" outlineLevel="0" collapsed="false">
      <c r="A36" s="45" t="s">
        <v>9</v>
      </c>
      <c r="B36" s="15" t="s">
        <v>457</v>
      </c>
      <c r="C36" s="15"/>
      <c r="D36" s="16" t="s">
        <v>157</v>
      </c>
      <c r="E36" s="35" t="n">
        <f aca="false">1.75*0.75+0.84*0.65+0.92*0.48/2+0.2*0.78</f>
        <v>2.2353</v>
      </c>
      <c r="F36" s="24" t="n">
        <v>1.5</v>
      </c>
      <c r="G36" s="12"/>
      <c r="H36" s="22"/>
      <c r="I36" s="20"/>
      <c r="J36" s="1" t="s">
        <v>456</v>
      </c>
    </row>
    <row r="37" customFormat="false" ht="15" hidden="false" customHeight="true" outlineLevel="0" collapsed="false">
      <c r="A37" s="45" t="s">
        <v>9</v>
      </c>
      <c r="B37" s="15" t="s">
        <v>458</v>
      </c>
      <c r="C37" s="15" t="s">
        <v>159</v>
      </c>
      <c r="D37" s="16" t="s">
        <v>157</v>
      </c>
      <c r="E37" s="35" t="n">
        <f aca="false">1.5*1.9</f>
        <v>2.85</v>
      </c>
      <c r="F37" s="24" t="n">
        <v>1</v>
      </c>
      <c r="G37" s="12" t="n">
        <f aca="false">'Dups+ B&amp;B Rates'!$I$8</f>
        <v>8</v>
      </c>
      <c r="H37" s="22" t="n">
        <f aca="false">G37*F37*E37</f>
        <v>22.8</v>
      </c>
      <c r="I37" s="20"/>
      <c r="K37" s="23" t="n">
        <f aca="false">Рынок!$D$8</f>
        <v>10.6446676867807</v>
      </c>
      <c r="L37" s="3" t="n">
        <f aca="false">K37*F37*E37</f>
        <v>30.3373029073249</v>
      </c>
    </row>
    <row r="38" customFormat="false" ht="15" hidden="false" customHeight="true" outlineLevel="0" collapsed="false">
      <c r="A38" s="45" t="s">
        <v>9</v>
      </c>
      <c r="B38" s="15" t="s">
        <v>459</v>
      </c>
      <c r="C38" s="15" t="s">
        <v>460</v>
      </c>
      <c r="D38" s="16" t="s">
        <v>424</v>
      </c>
      <c r="E38" s="35" t="n">
        <f aca="false">4.75</f>
        <v>4.75</v>
      </c>
      <c r="F38" s="24" t="n">
        <v>1</v>
      </c>
      <c r="G38" s="12" t="n">
        <f aca="false">'Dups+ B&amp;B Rates'!$I$12</f>
        <v>10</v>
      </c>
      <c r="H38" s="22" t="n">
        <f aca="false">G38*F38*E38</f>
        <v>47.5</v>
      </c>
      <c r="I38" s="20"/>
      <c r="K38" s="21" t="n">
        <f aca="false">G38</f>
        <v>10</v>
      </c>
      <c r="L38" s="3" t="n">
        <f aca="false">K38*F38*E38</f>
        <v>47.5</v>
      </c>
    </row>
    <row r="39" customFormat="false" ht="15" hidden="false" customHeight="true" outlineLevel="0" collapsed="false">
      <c r="A39" s="45" t="s">
        <v>9</v>
      </c>
      <c r="B39" s="15" t="s">
        <v>461</v>
      </c>
      <c r="C39" s="15" t="s">
        <v>172</v>
      </c>
      <c r="D39" s="16" t="s">
        <v>157</v>
      </c>
      <c r="E39" s="35" t="n">
        <f aca="false">E38*0.25</f>
        <v>1.1875</v>
      </c>
      <c r="F39" s="24" t="n">
        <v>1</v>
      </c>
      <c r="G39" s="12" t="n">
        <f aca="false">'Dups+ B&amp;B Rates'!$I$3</f>
        <v>0.5</v>
      </c>
      <c r="H39" s="22" t="n">
        <f aca="false">G39*F39*E39</f>
        <v>0.59375</v>
      </c>
      <c r="I39" s="20"/>
      <c r="K39" s="23" t="n">
        <f aca="false">Рынок!$D$3</f>
        <v>0.665291730423791</v>
      </c>
      <c r="L39" s="3" t="n">
        <f aca="false">K39*F39*E39</f>
        <v>0.790033929878252</v>
      </c>
    </row>
    <row r="40" customFormat="false" ht="15" hidden="false" customHeight="true" outlineLevel="0" collapsed="false">
      <c r="A40" s="45" t="s">
        <v>9</v>
      </c>
      <c r="B40" s="15" t="s">
        <v>462</v>
      </c>
      <c r="C40" s="30" t="s">
        <v>174</v>
      </c>
      <c r="D40" s="16" t="s">
        <v>157</v>
      </c>
      <c r="E40" s="35" t="n">
        <f aca="false">E39</f>
        <v>1.1875</v>
      </c>
      <c r="F40" s="24" t="n">
        <v>2</v>
      </c>
      <c r="G40" s="12" t="n">
        <f aca="false">'Dups+ B&amp;B Rates'!$I$18</f>
        <v>1</v>
      </c>
      <c r="H40" s="22" t="n">
        <f aca="false">G40*F40*E40</f>
        <v>2.375</v>
      </c>
      <c r="I40" s="20"/>
      <c r="K40" s="21" t="n">
        <f aca="false">G40</f>
        <v>1</v>
      </c>
      <c r="L40" s="3" t="n">
        <f aca="false">K40*F40*E40</f>
        <v>2.375</v>
      </c>
    </row>
    <row r="41" customFormat="false" ht="15" hidden="false" customHeight="true" outlineLevel="0" collapsed="false">
      <c r="A41" s="45" t="s">
        <v>9</v>
      </c>
      <c r="B41" s="15" t="s">
        <v>463</v>
      </c>
      <c r="C41" s="15" t="s">
        <v>161</v>
      </c>
      <c r="D41" s="16" t="s">
        <v>157</v>
      </c>
      <c r="E41" s="35" t="n">
        <f aca="false">(1.75+1.9+2.6)*2.57</f>
        <v>16.0625</v>
      </c>
      <c r="F41" s="24" t="n">
        <v>1</v>
      </c>
      <c r="G41" s="12" t="n">
        <f aca="false">'Dups+ B&amp;B Rates'!$I$9</f>
        <v>9</v>
      </c>
      <c r="H41" s="22" t="n">
        <f aca="false">G41*F41*E41</f>
        <v>144.5625</v>
      </c>
      <c r="I41" s="20"/>
      <c r="K41" s="23" t="n">
        <f aca="false">Рынок!$D$9</f>
        <v>10.6446676867807</v>
      </c>
      <c r="L41" s="3" t="n">
        <f aca="false">K41*F41*E41</f>
        <v>170.979974718914</v>
      </c>
    </row>
    <row r="42" customFormat="false" ht="15" hidden="false" customHeight="true" outlineLevel="0" collapsed="false">
      <c r="A42" s="45" t="s">
        <v>9</v>
      </c>
      <c r="B42" s="15" t="s">
        <v>464</v>
      </c>
      <c r="C42" s="15" t="s">
        <v>159</v>
      </c>
      <c r="D42" s="16" t="s">
        <v>157</v>
      </c>
      <c r="E42" s="35" t="n">
        <f aca="false">2.57*1.62</f>
        <v>4.1634</v>
      </c>
      <c r="F42" s="24" t="n">
        <v>1</v>
      </c>
      <c r="G42" s="12" t="n">
        <f aca="false">'Dups+ B&amp;B Rates'!$I$8</f>
        <v>8</v>
      </c>
      <c r="H42" s="22" t="n">
        <f aca="false">G42*F42*E42</f>
        <v>33.3072</v>
      </c>
      <c r="I42" s="20"/>
      <c r="K42" s="23" t="n">
        <f aca="false">Рынок!$D$8</f>
        <v>10.6446676867807</v>
      </c>
      <c r="L42" s="3" t="n">
        <f aca="false">K42*F42*E42</f>
        <v>44.3180094471426</v>
      </c>
    </row>
    <row r="43" customFormat="false" ht="15" hidden="false" customHeight="true" outlineLevel="0" collapsed="false">
      <c r="A43" s="45" t="s">
        <v>9</v>
      </c>
      <c r="B43" s="15" t="s">
        <v>465</v>
      </c>
      <c r="C43" s="15" t="s">
        <v>201</v>
      </c>
      <c r="D43" s="16" t="s">
        <v>157</v>
      </c>
      <c r="E43" s="35" t="n">
        <f aca="false">0.3*3.4+0.17*2.15</f>
        <v>1.3855</v>
      </c>
      <c r="F43" s="24" t="n">
        <v>1</v>
      </c>
      <c r="G43" s="12" t="n">
        <f aca="false">'Dups+ B&amp;B Rates'!$I$29</f>
        <v>6</v>
      </c>
      <c r="H43" s="22" t="n">
        <f aca="false">G43*F43*E43</f>
        <v>8.313</v>
      </c>
      <c r="I43" s="20"/>
      <c r="J43" s="26" t="s">
        <v>466</v>
      </c>
      <c r="K43" s="21" t="n">
        <f aca="false">G43</f>
        <v>6</v>
      </c>
      <c r="L43" s="3" t="n">
        <f aca="false">K43*F43*E43</f>
        <v>8.313</v>
      </c>
    </row>
    <row r="44" customFormat="false" ht="15" hidden="false" customHeight="true" outlineLevel="0" collapsed="false">
      <c r="A44" s="45" t="s">
        <v>9</v>
      </c>
      <c r="B44" s="15" t="s">
        <v>467</v>
      </c>
      <c r="C44" s="15" t="s">
        <v>159</v>
      </c>
      <c r="D44" s="16" t="s">
        <v>157</v>
      </c>
      <c r="E44" s="35" t="n">
        <f aca="false">0.3*2.3*2+0.47*2.3</f>
        <v>2.461</v>
      </c>
      <c r="F44" s="24" t="n">
        <v>1</v>
      </c>
      <c r="G44" s="12" t="n">
        <f aca="false">'Dups+ B&amp;B Rates'!$I$8</f>
        <v>8</v>
      </c>
      <c r="H44" s="22" t="n">
        <f aca="false">G44*F44*E44</f>
        <v>19.688</v>
      </c>
      <c r="I44" s="20"/>
      <c r="K44" s="23" t="n">
        <f aca="false">Рынок!$D$8</f>
        <v>10.6446676867807</v>
      </c>
      <c r="L44" s="3" t="n">
        <f aca="false">K44*F44*E44</f>
        <v>26.1965271771672</v>
      </c>
    </row>
    <row r="45" customFormat="false" ht="15" hidden="false" customHeight="true" outlineLevel="0" collapsed="false">
      <c r="A45" s="45" t="s">
        <v>9</v>
      </c>
      <c r="B45" s="25" t="s">
        <v>423</v>
      </c>
      <c r="C45" s="15" t="s">
        <v>163</v>
      </c>
      <c r="D45" s="16" t="s">
        <v>424</v>
      </c>
      <c r="E45" s="35" t="n">
        <f aca="false">E48+E49</f>
        <v>57.3</v>
      </c>
      <c r="F45" s="24" t="n">
        <v>1</v>
      </c>
      <c r="G45" s="12" t="n">
        <f aca="false">'Dups+ B&amp;B Rates'!$I$19</f>
        <v>2</v>
      </c>
      <c r="H45" s="22" t="n">
        <f aca="false">G45*F45*E45</f>
        <v>114.6</v>
      </c>
      <c r="I45" s="20"/>
      <c r="K45" s="21" t="n">
        <f aca="false">G45</f>
        <v>2</v>
      </c>
      <c r="L45" s="3" t="n">
        <f aca="false">K45*F45*E45</f>
        <v>114.6</v>
      </c>
    </row>
    <row r="46" customFormat="false" ht="15" hidden="false" customHeight="true" outlineLevel="0" collapsed="false">
      <c r="A46" s="45" t="s">
        <v>9</v>
      </c>
      <c r="B46" s="15" t="s">
        <v>221</v>
      </c>
      <c r="C46" s="46"/>
      <c r="D46" s="16" t="s">
        <v>157</v>
      </c>
      <c r="E46" s="35" t="n">
        <f aca="false">1.5+0.45*1.5+0.34*0.5/2+0.38*2+0.38*2.6+0.68*1.32+2*1.5*2+(1.3*1.3/2)*2+0.63*1.3*2+2.67*0.7/2+0.65*1.62+0.65*0.62/2+0.3*2.23+0.3*2.4+0.25*0.3</f>
        <v>17.8866</v>
      </c>
      <c r="F46" s="24" t="n">
        <v>1</v>
      </c>
      <c r="G46" s="12"/>
      <c r="H46" s="22"/>
      <c r="I46" s="20"/>
      <c r="J46" s="1" t="s">
        <v>456</v>
      </c>
    </row>
    <row r="47" customFormat="false" ht="15" hidden="false" customHeight="true" outlineLevel="0" collapsed="false">
      <c r="A47" s="45" t="s">
        <v>9</v>
      </c>
      <c r="B47" s="15" t="s">
        <v>170</v>
      </c>
      <c r="C47" s="15" t="s">
        <v>170</v>
      </c>
      <c r="D47" s="16" t="s">
        <v>424</v>
      </c>
      <c r="E47" s="35" t="n">
        <f aca="false">2.23*2+2.42+3.37</f>
        <v>10.25</v>
      </c>
      <c r="F47" s="24" t="n">
        <v>1</v>
      </c>
      <c r="G47" s="12" t="n">
        <f aca="false">'Dups+ B&amp;B Rates'!$I$22</f>
        <v>2.5</v>
      </c>
      <c r="H47" s="22" t="n">
        <f aca="false">G47*F47*E47</f>
        <v>25.625</v>
      </c>
      <c r="I47" s="20"/>
      <c r="K47" s="21" t="n">
        <f aca="false">G47</f>
        <v>2.5</v>
      </c>
      <c r="L47" s="3" t="n">
        <f aca="false">K47*F47*E47</f>
        <v>25.625</v>
      </c>
    </row>
    <row r="48" customFormat="false" ht="15" hidden="false" customHeight="true" outlineLevel="0" collapsed="false">
      <c r="A48" s="45" t="s">
        <v>9</v>
      </c>
      <c r="B48" s="15" t="s">
        <v>205</v>
      </c>
      <c r="C48" s="15" t="s">
        <v>205</v>
      </c>
      <c r="D48" s="16" t="s">
        <v>424</v>
      </c>
      <c r="E48" s="35" t="n">
        <f aca="false">2.57*9+2.6*2+0.94+0.53+0.47*2+1.75+0.17+1.3+0.25+0.9+0.3*2+0.53*2+1.7+0.4</f>
        <v>38.87</v>
      </c>
      <c r="F48" s="24" t="n">
        <v>1</v>
      </c>
      <c r="G48" s="12" t="n">
        <f aca="false">'Dups+ B&amp;B Rates'!$I$27</f>
        <v>4</v>
      </c>
      <c r="H48" s="22" t="n">
        <f aca="false">G48*F48*E48</f>
        <v>155.48</v>
      </c>
      <c r="I48" s="20"/>
      <c r="J48" s="26" t="s">
        <v>425</v>
      </c>
      <c r="K48" s="21" t="n">
        <f aca="false">G48</f>
        <v>4</v>
      </c>
      <c r="L48" s="3" t="n">
        <f aca="false">K48*F48*E48</f>
        <v>155.48</v>
      </c>
    </row>
    <row r="49" customFormat="false" ht="15" hidden="false" customHeight="true" outlineLevel="0" collapsed="false">
      <c r="A49" s="45" t="s">
        <v>9</v>
      </c>
      <c r="B49" s="15" t="s">
        <v>207</v>
      </c>
      <c r="C49" s="15" t="s">
        <v>207</v>
      </c>
      <c r="D49" s="16" t="s">
        <v>424</v>
      </c>
      <c r="E49" s="35" t="n">
        <f aca="false">1.62*2+2.2+2.57*2+2.6*2+0.2+2.45</f>
        <v>18.43</v>
      </c>
      <c r="F49" s="24" t="n">
        <v>1</v>
      </c>
      <c r="G49" s="12" t="n">
        <f aca="false">'Dups+ B&amp;B Rates'!$I$28</f>
        <v>3</v>
      </c>
      <c r="H49" s="22" t="n">
        <f aca="false">G49*F49*E49</f>
        <v>55.29</v>
      </c>
      <c r="I49" s="20"/>
      <c r="J49" s="26" t="s">
        <v>425</v>
      </c>
      <c r="K49" s="21" t="n">
        <f aca="false">G49</f>
        <v>3</v>
      </c>
      <c r="L49" s="3" t="n">
        <f aca="false">K49*F49*E49</f>
        <v>55.29</v>
      </c>
    </row>
    <row r="50" customFormat="false" ht="15" hidden="false" customHeight="true" outlineLevel="0" collapsed="false">
      <c r="A50" s="45" t="s">
        <v>9</v>
      </c>
      <c r="B50" s="15" t="s">
        <v>430</v>
      </c>
      <c r="C50" s="15" t="s">
        <v>172</v>
      </c>
      <c r="D50" s="16" t="s">
        <v>157</v>
      </c>
      <c r="E50" s="35" t="n">
        <f aca="false">1.6*0.65+0.62*0.65/2+0.47*(2.1+0.3+2.23)+0.3*(1.3+0.3+2.23)+0.65*1.62+0.65*0.62/2+0.2+2.23*1.5+0.2*2.23+E42+0.45*1.5+0.34*0.5/2+0.38*2+0.38*2.6+0.68*1.32+2*1.5*2+(1.3*1.3/2)*2+0.63*1.3*2+2.67*0.7/2</f>
        <v>27.6436</v>
      </c>
      <c r="F50" s="24" t="n">
        <v>1</v>
      </c>
      <c r="G50" s="12" t="n">
        <f aca="false">'Dups+ B&amp;B Rates'!$I$3</f>
        <v>0.5</v>
      </c>
      <c r="H50" s="22" t="n">
        <f aca="false">G50*F50*E50</f>
        <v>13.8218</v>
      </c>
      <c r="I50" s="20"/>
      <c r="K50" s="23" t="n">
        <f aca="false">Рынок!$D$3</f>
        <v>0.665291730423791</v>
      </c>
      <c r="L50" s="3" t="n">
        <f aca="false">K50*F50*E50</f>
        <v>18.3910584791431</v>
      </c>
    </row>
    <row r="51" customFormat="false" ht="15" hidden="false" customHeight="true" outlineLevel="0" collapsed="false">
      <c r="A51" s="45" t="s">
        <v>9</v>
      </c>
      <c r="B51" s="15" t="s">
        <v>431</v>
      </c>
      <c r="C51" s="15" t="s">
        <v>187</v>
      </c>
      <c r="D51" s="16" t="s">
        <v>157</v>
      </c>
      <c r="E51" s="35" t="n">
        <f aca="false">E41</f>
        <v>16.0625</v>
      </c>
      <c r="F51" s="24" t="n">
        <v>1</v>
      </c>
      <c r="G51" s="12" t="n">
        <f aca="false">'Dups+ B&amp;B Rates'!$I$3</f>
        <v>0.5</v>
      </c>
      <c r="H51" s="22" t="n">
        <f aca="false">G51*F51*E51</f>
        <v>8.03125</v>
      </c>
      <c r="I51" s="20"/>
      <c r="K51" s="23" t="n">
        <f aca="false">Рынок!$D$3</f>
        <v>0.665291730423791</v>
      </c>
      <c r="L51" s="3" t="n">
        <f aca="false">K51*F51*E51</f>
        <v>10.6862484199321</v>
      </c>
    </row>
    <row r="52" customFormat="false" ht="15" hidden="false" customHeight="true" outlineLevel="0" collapsed="false">
      <c r="A52" s="45" t="s">
        <v>9</v>
      </c>
      <c r="B52" s="15" t="s">
        <v>174</v>
      </c>
      <c r="C52" s="15" t="s">
        <v>174</v>
      </c>
      <c r="D52" s="16" t="s">
        <v>157</v>
      </c>
      <c r="E52" s="35" t="n">
        <f aca="false">E50</f>
        <v>27.6436</v>
      </c>
      <c r="F52" s="24" t="n">
        <v>2</v>
      </c>
      <c r="G52" s="12" t="n">
        <f aca="false">'Dups+ B&amp;B Rates'!$I$18</f>
        <v>1</v>
      </c>
      <c r="H52" s="22" t="n">
        <f aca="false">G52*F52*E52</f>
        <v>55.2872</v>
      </c>
      <c r="I52" s="20"/>
      <c r="K52" s="21" t="n">
        <f aca="false">G52</f>
        <v>1</v>
      </c>
      <c r="L52" s="3" t="n">
        <f aca="false">K52*F52*E52</f>
        <v>55.2872</v>
      </c>
    </row>
    <row r="53" customFormat="false" ht="15" hidden="false" customHeight="true" outlineLevel="0" collapsed="false">
      <c r="A53" s="45" t="s">
        <v>9</v>
      </c>
      <c r="B53" s="15" t="s">
        <v>175</v>
      </c>
      <c r="C53" s="30" t="s">
        <v>175</v>
      </c>
      <c r="D53" s="16" t="s">
        <v>157</v>
      </c>
      <c r="E53" s="35" t="n">
        <f aca="false">E51</f>
        <v>16.0625</v>
      </c>
      <c r="F53" s="24" t="n">
        <v>2</v>
      </c>
      <c r="G53" s="12" t="n">
        <f aca="false">'Dups+ B&amp;B Rates'!$I$17</f>
        <v>1.5</v>
      </c>
      <c r="H53" s="22" t="n">
        <f aca="false">G53*F53*E53</f>
        <v>48.1875</v>
      </c>
      <c r="I53" s="20"/>
      <c r="K53" s="21" t="n">
        <f aca="false">G53</f>
        <v>1.5</v>
      </c>
      <c r="L53" s="3" t="n">
        <f aca="false">K53*F53*E53</f>
        <v>48.1875</v>
      </c>
    </row>
    <row r="54" customFormat="false" ht="15" hidden="false" customHeight="true" outlineLevel="0" collapsed="false">
      <c r="A54" s="45" t="s">
        <v>10</v>
      </c>
      <c r="B54" s="15" t="s">
        <v>468</v>
      </c>
      <c r="C54" s="30" t="s">
        <v>209</v>
      </c>
      <c r="D54" s="16" t="s">
        <v>157</v>
      </c>
      <c r="E54" s="35" t="n">
        <f aca="false">0.46*2.05+0.28*1.22+0.38*2.46+0.28*2.01</f>
        <v>2.7822</v>
      </c>
      <c r="F54" s="24" t="n">
        <v>1</v>
      </c>
      <c r="G54" s="12" t="n">
        <f aca="false">'Dups+ B&amp;B Rates'!$I$26</f>
        <v>6.5</v>
      </c>
      <c r="H54" s="22" t="n">
        <f aca="false">G54*F54*E54</f>
        <v>18.0843</v>
      </c>
      <c r="I54" s="20"/>
      <c r="J54" s="26" t="s">
        <v>466</v>
      </c>
      <c r="K54" s="23" t="n">
        <f aca="false">Рынок!$D$7</f>
        <v>8.31614663029739</v>
      </c>
      <c r="L54" s="3" t="n">
        <f aca="false">K54*F54*E54</f>
        <v>23.1371831548134</v>
      </c>
    </row>
    <row r="55" customFormat="false" ht="15" hidden="false" customHeight="true" outlineLevel="0" collapsed="false">
      <c r="A55" s="45" t="s">
        <v>10</v>
      </c>
      <c r="B55" s="15" t="s">
        <v>170</v>
      </c>
      <c r="C55" s="30" t="s">
        <v>170</v>
      </c>
      <c r="D55" s="16" t="s">
        <v>424</v>
      </c>
      <c r="E55" s="35" t="n">
        <v>3.37</v>
      </c>
      <c r="F55" s="24" t="n">
        <v>1</v>
      </c>
      <c r="G55" s="12" t="n">
        <f aca="false">'Dups+ B&amp;B Rates'!$I$22</f>
        <v>2.5</v>
      </c>
      <c r="H55" s="22" t="n">
        <f aca="false">G55*F55*E55</f>
        <v>8.425</v>
      </c>
      <c r="I55" s="20"/>
      <c r="K55" s="21" t="n">
        <f aca="false">G55</f>
        <v>2.5</v>
      </c>
      <c r="L55" s="3" t="n">
        <f aca="false">K55*F55*E55</f>
        <v>8.425</v>
      </c>
    </row>
    <row r="56" customFormat="false" ht="15" hidden="false" customHeight="true" outlineLevel="0" collapsed="false">
      <c r="A56" s="45" t="s">
        <v>9</v>
      </c>
      <c r="B56" s="15" t="s">
        <v>469</v>
      </c>
      <c r="C56" s="15" t="s">
        <v>212</v>
      </c>
      <c r="D56" s="16" t="s">
        <v>179</v>
      </c>
      <c r="E56" s="35" t="n">
        <v>1</v>
      </c>
      <c r="F56" s="24" t="n">
        <v>1</v>
      </c>
      <c r="G56" s="12" t="n">
        <f aca="false">'Dups+ B&amp;B Rates'!$I$21</f>
        <v>15</v>
      </c>
      <c r="H56" s="22" t="n">
        <f aca="false">G56*F56*E56</f>
        <v>15</v>
      </c>
      <c r="I56" s="20"/>
      <c r="K56" s="21" t="n">
        <f aca="false">G56</f>
        <v>15</v>
      </c>
      <c r="L56" s="3" t="n">
        <f aca="false">K56*F56*E56</f>
        <v>15</v>
      </c>
    </row>
    <row r="57" customFormat="false" ht="15" hidden="false" customHeight="true" outlineLevel="0" collapsed="false">
      <c r="A57" s="47" t="s">
        <v>11</v>
      </c>
      <c r="B57" s="15" t="s">
        <v>470</v>
      </c>
      <c r="C57" s="15" t="s">
        <v>470</v>
      </c>
      <c r="D57" s="16" t="s">
        <v>179</v>
      </c>
      <c r="E57" s="35" t="n">
        <v>1</v>
      </c>
      <c r="F57" s="24" t="n">
        <v>1</v>
      </c>
      <c r="G57" s="27"/>
      <c r="H57" s="28"/>
      <c r="I57" s="20"/>
      <c r="J57" s="1" t="s">
        <v>471</v>
      </c>
    </row>
    <row r="58" customFormat="false" ht="15" hidden="false" customHeight="true" outlineLevel="0" collapsed="false">
      <c r="A58" s="47" t="s">
        <v>11</v>
      </c>
      <c r="B58" s="15" t="s">
        <v>472</v>
      </c>
      <c r="C58" s="46"/>
      <c r="D58" s="16" t="s">
        <v>424</v>
      </c>
      <c r="E58" s="35" t="n">
        <v>10</v>
      </c>
      <c r="F58" s="18" t="n">
        <v>1</v>
      </c>
      <c r="G58" s="12"/>
      <c r="H58" s="22"/>
      <c r="I58" s="20"/>
      <c r="J58" s="1" t="s">
        <v>456</v>
      </c>
    </row>
    <row r="59" customFormat="false" ht="15" hidden="false" customHeight="true" outlineLevel="0" collapsed="false">
      <c r="A59" s="47" t="s">
        <v>11</v>
      </c>
      <c r="B59" s="15" t="s">
        <v>473</v>
      </c>
      <c r="C59" s="46"/>
      <c r="D59" s="16" t="s">
        <v>424</v>
      </c>
      <c r="E59" s="35" t="n">
        <v>5</v>
      </c>
      <c r="F59" s="18" t="n">
        <v>1</v>
      </c>
      <c r="G59" s="12"/>
      <c r="H59" s="22"/>
      <c r="I59" s="20"/>
      <c r="J59" s="1" t="s">
        <v>456</v>
      </c>
    </row>
    <row r="60" customFormat="false" ht="15" hidden="false" customHeight="true" outlineLevel="0" collapsed="false">
      <c r="A60" s="47" t="s">
        <v>11</v>
      </c>
      <c r="B60" s="25" t="s">
        <v>423</v>
      </c>
      <c r="C60" s="15" t="s">
        <v>163</v>
      </c>
      <c r="D60" s="16" t="s">
        <v>424</v>
      </c>
      <c r="E60" s="35" t="n">
        <f aca="false">2.35*2+1.22+2.7*2</f>
        <v>11.32</v>
      </c>
      <c r="F60" s="24" t="n">
        <v>1</v>
      </c>
      <c r="G60" s="12" t="n">
        <f aca="false">'Dups+ B&amp;B Rates'!$I$19</f>
        <v>2</v>
      </c>
      <c r="H60" s="22" t="n">
        <f aca="false">G60*F60*E60</f>
        <v>22.64</v>
      </c>
      <c r="I60" s="20"/>
      <c r="K60" s="21" t="n">
        <f aca="false">G60</f>
        <v>2</v>
      </c>
      <c r="L60" s="3" t="n">
        <f aca="false">K60*F60*E60</f>
        <v>22.64</v>
      </c>
    </row>
    <row r="61" customFormat="false" ht="15" hidden="false" customHeight="true" outlineLevel="0" collapsed="false">
      <c r="A61" s="47" t="s">
        <v>11</v>
      </c>
      <c r="B61" s="15" t="s">
        <v>205</v>
      </c>
      <c r="C61" s="30" t="s">
        <v>215</v>
      </c>
      <c r="D61" s="16" t="s">
        <v>424</v>
      </c>
      <c r="E61" s="35" t="n">
        <f aca="false">2.35*2+1.22</f>
        <v>5.92</v>
      </c>
      <c r="F61" s="24" t="n">
        <v>1</v>
      </c>
      <c r="G61" s="12" t="n">
        <f aca="false">'Dups+ B&amp;B Rates'!$I$28</f>
        <v>3</v>
      </c>
      <c r="H61" s="22" t="n">
        <f aca="false">G61*F61*E61</f>
        <v>17.76</v>
      </c>
      <c r="I61" s="20"/>
      <c r="J61" s="26" t="s">
        <v>425</v>
      </c>
      <c r="K61" s="21" t="n">
        <f aca="false">G61</f>
        <v>3</v>
      </c>
      <c r="L61" s="3" t="n">
        <f aca="false">K61*F61*E61</f>
        <v>17.76</v>
      </c>
    </row>
    <row r="62" customFormat="false" ht="15" hidden="false" customHeight="true" outlineLevel="0" collapsed="false">
      <c r="A62" s="47" t="s">
        <v>11</v>
      </c>
      <c r="B62" s="15" t="s">
        <v>474</v>
      </c>
      <c r="C62" s="30" t="s">
        <v>215</v>
      </c>
      <c r="D62" s="16" t="s">
        <v>424</v>
      </c>
      <c r="E62" s="35" t="n">
        <f aca="false">1.1+2.3+2.7+0.62</f>
        <v>6.72</v>
      </c>
      <c r="F62" s="24" t="n">
        <v>1</v>
      </c>
      <c r="G62" s="12" t="n">
        <f aca="false">'Dups+ B&amp;B Rates'!$I$28</f>
        <v>3</v>
      </c>
      <c r="H62" s="22" t="n">
        <f aca="false">G62*F62*E62</f>
        <v>20.16</v>
      </c>
      <c r="I62" s="20"/>
      <c r="J62" s="26" t="s">
        <v>425</v>
      </c>
      <c r="K62" s="21" t="n">
        <f aca="false">G62</f>
        <v>3</v>
      </c>
      <c r="L62" s="3" t="n">
        <f aca="false">K62*F62*E62</f>
        <v>20.16</v>
      </c>
    </row>
    <row r="63" customFormat="false" ht="15" hidden="false" customHeight="true" outlineLevel="0" collapsed="false">
      <c r="A63" s="47" t="s">
        <v>11</v>
      </c>
      <c r="B63" s="15" t="s">
        <v>475</v>
      </c>
      <c r="C63" s="30" t="s">
        <v>170</v>
      </c>
      <c r="D63" s="16" t="s">
        <v>424</v>
      </c>
      <c r="E63" s="35" t="n">
        <f aca="false">2.23+0.3+0.87+2.05*2+1.48+0.53+0.88+2.7</f>
        <v>13.09</v>
      </c>
      <c r="F63" s="24" t="n">
        <v>1</v>
      </c>
      <c r="G63" s="12" t="n">
        <f aca="false">'Dups+ B&amp;B Rates'!$I$22</f>
        <v>2.5</v>
      </c>
      <c r="H63" s="22" t="n">
        <f aca="false">G63*F63*E63</f>
        <v>32.725</v>
      </c>
      <c r="I63" s="20"/>
      <c r="K63" s="21" t="n">
        <f aca="false">G63</f>
        <v>2.5</v>
      </c>
      <c r="L63" s="3" t="n">
        <f aca="false">K63*F63*E63</f>
        <v>32.725</v>
      </c>
    </row>
    <row r="64" customFormat="false" ht="15" hidden="false" customHeight="true" outlineLevel="0" collapsed="false">
      <c r="A64" s="47" t="s">
        <v>11</v>
      </c>
      <c r="B64" s="15" t="s">
        <v>476</v>
      </c>
      <c r="C64" s="30"/>
      <c r="D64" s="16" t="s">
        <v>179</v>
      </c>
      <c r="E64" s="35" t="n">
        <v>1</v>
      </c>
      <c r="F64" s="24" t="n">
        <v>1</v>
      </c>
      <c r="G64" s="12"/>
      <c r="H64" s="48"/>
      <c r="I64" s="20"/>
      <c r="J64" s="1" t="s">
        <v>456</v>
      </c>
    </row>
    <row r="65" customFormat="false" ht="15" hidden="false" customHeight="true" outlineLevel="0" collapsed="false">
      <c r="A65" s="47" t="s">
        <v>11</v>
      </c>
      <c r="B65" s="15" t="s">
        <v>477</v>
      </c>
      <c r="C65" s="15" t="s">
        <v>159</v>
      </c>
      <c r="D65" s="16" t="s">
        <v>157</v>
      </c>
      <c r="E65" s="35" t="n">
        <f aca="false">1.1*1.04/2+0.62*0.93/2</f>
        <v>0.8603</v>
      </c>
      <c r="F65" s="24" t="n">
        <v>1</v>
      </c>
      <c r="G65" s="12" t="n">
        <f aca="false">'Dups+ B&amp;B Rates'!$I$8</f>
        <v>8</v>
      </c>
      <c r="H65" s="22" t="n">
        <f aca="false">G65*F65*E65</f>
        <v>6.8824</v>
      </c>
      <c r="I65" s="20"/>
      <c r="K65" s="23" t="n">
        <f aca="false">Рынок!$D$8</f>
        <v>10.6446676867807</v>
      </c>
      <c r="L65" s="3" t="n">
        <f aca="false">K65*F65*E65</f>
        <v>9.1576076109374</v>
      </c>
    </row>
    <row r="66" customFormat="false" ht="15" hidden="false" customHeight="true" outlineLevel="0" collapsed="false">
      <c r="A66" s="47" t="s">
        <v>11</v>
      </c>
      <c r="B66" s="15" t="s">
        <v>478</v>
      </c>
      <c r="C66" s="15" t="s">
        <v>212</v>
      </c>
      <c r="D66" s="16" t="s">
        <v>157</v>
      </c>
      <c r="E66" s="35" t="n">
        <v>1</v>
      </c>
      <c r="F66" s="24" t="n">
        <v>1</v>
      </c>
      <c r="G66" s="12" t="n">
        <f aca="false">'Dups+ B&amp;B Rates'!$I$21</f>
        <v>15</v>
      </c>
      <c r="H66" s="22" t="n">
        <f aca="false">G66*F66*E66</f>
        <v>15</v>
      </c>
      <c r="I66" s="20"/>
      <c r="J66" s="26" t="s">
        <v>479</v>
      </c>
      <c r="K66" s="21" t="n">
        <f aca="false">G66</f>
        <v>15</v>
      </c>
      <c r="L66" s="3" t="n">
        <f aca="false">K66*F66*E66</f>
        <v>15</v>
      </c>
    </row>
    <row r="67" customFormat="false" ht="15" hidden="false" customHeight="true" outlineLevel="0" collapsed="false">
      <c r="A67" s="47" t="s">
        <v>11</v>
      </c>
      <c r="B67" s="15" t="s">
        <v>480</v>
      </c>
      <c r="C67" s="30" t="s">
        <v>481</v>
      </c>
      <c r="D67" s="16" t="s">
        <v>424</v>
      </c>
      <c r="E67" s="35" t="n">
        <v>6</v>
      </c>
      <c r="F67" s="24" t="n">
        <v>1</v>
      </c>
      <c r="G67" s="27"/>
      <c r="H67" s="28"/>
      <c r="I67" s="20"/>
      <c r="J67" s="1" t="s">
        <v>482</v>
      </c>
    </row>
    <row r="68" customFormat="false" ht="15" hidden="false" customHeight="true" outlineLevel="0" collapsed="false">
      <c r="A68" s="47" t="s">
        <v>11</v>
      </c>
      <c r="B68" s="15" t="s">
        <v>463</v>
      </c>
      <c r="C68" s="15" t="s">
        <v>161</v>
      </c>
      <c r="D68" s="16" t="s">
        <v>157</v>
      </c>
      <c r="E68" s="35" t="n">
        <f aca="false">3.63*2.33-1.12*0.65+1.2*1.1</f>
        <v>9.0499</v>
      </c>
      <c r="F68" s="24" t="n">
        <v>1</v>
      </c>
      <c r="G68" s="12" t="n">
        <f aca="false">'Dups+ B&amp;B Rates'!$I$9</f>
        <v>9</v>
      </c>
      <c r="H68" s="22" t="n">
        <f aca="false">G68*F68*E68</f>
        <v>81.4491</v>
      </c>
      <c r="I68" s="20"/>
      <c r="K68" s="23" t="n">
        <f aca="false">Рынок!$D$9</f>
        <v>10.6446676867807</v>
      </c>
      <c r="L68" s="3" t="n">
        <f aca="false">K68*F68*E68</f>
        <v>96.3331780985962</v>
      </c>
    </row>
    <row r="69" customFormat="false" ht="15" hidden="false" customHeight="true" outlineLevel="0" collapsed="false">
      <c r="A69" s="47" t="s">
        <v>11</v>
      </c>
      <c r="B69" s="15" t="s">
        <v>483</v>
      </c>
      <c r="C69" s="15" t="s">
        <v>221</v>
      </c>
      <c r="D69" s="16" t="s">
        <v>157</v>
      </c>
      <c r="E69" s="35" t="n">
        <f aca="false">1.1*2.75</f>
        <v>3.025</v>
      </c>
      <c r="F69" s="24" t="n">
        <v>1</v>
      </c>
      <c r="G69" s="12" t="n">
        <f aca="false">'Dups+ B&amp;B Rates'!$I$7</f>
        <v>4</v>
      </c>
      <c r="H69" s="22" t="n">
        <f aca="false">G69*F69*E69</f>
        <v>12.1</v>
      </c>
      <c r="I69" s="20"/>
      <c r="K69" s="21" t="n">
        <f aca="false">G69</f>
        <v>4</v>
      </c>
      <c r="L69" s="3" t="n">
        <f aca="false">K69*F69*E69</f>
        <v>12.1</v>
      </c>
    </row>
    <row r="70" customFormat="false" ht="15" hidden="false" customHeight="true" outlineLevel="0" collapsed="false">
      <c r="A70" s="47" t="s">
        <v>11</v>
      </c>
      <c r="B70" s="15" t="s">
        <v>430</v>
      </c>
      <c r="C70" s="15" t="s">
        <v>172</v>
      </c>
      <c r="D70" s="16" t="s">
        <v>157</v>
      </c>
      <c r="E70" s="35" t="n">
        <f aca="false">E72</f>
        <v>17.5624</v>
      </c>
      <c r="F70" s="24" t="n">
        <v>1</v>
      </c>
      <c r="G70" s="12" t="n">
        <f aca="false">'Dups+ B&amp;B Rates'!$I$3</f>
        <v>0.5</v>
      </c>
      <c r="H70" s="22" t="n">
        <f aca="false">G70*F70*E70</f>
        <v>8.7812</v>
      </c>
      <c r="I70" s="20"/>
      <c r="K70" s="23" t="n">
        <f aca="false">Рынок!$D$3</f>
        <v>0.665291730423791</v>
      </c>
      <c r="L70" s="3" t="n">
        <f aca="false">K70*F70*E70</f>
        <v>11.6841194863948</v>
      </c>
    </row>
    <row r="71" customFormat="false" ht="15" hidden="false" customHeight="true" outlineLevel="0" collapsed="false">
      <c r="A71" s="47" t="s">
        <v>11</v>
      </c>
      <c r="B71" s="15" t="s">
        <v>431</v>
      </c>
      <c r="C71" s="15" t="s">
        <v>187</v>
      </c>
      <c r="D71" s="16" t="s">
        <v>157</v>
      </c>
      <c r="E71" s="35" t="n">
        <f aca="false">E68</f>
        <v>9.0499</v>
      </c>
      <c r="F71" s="24" t="n">
        <v>1</v>
      </c>
      <c r="G71" s="12" t="n">
        <f aca="false">'Dups+ B&amp;B Rates'!$I$3</f>
        <v>0.5</v>
      </c>
      <c r="H71" s="22" t="n">
        <f aca="false">G71*F71*E71</f>
        <v>4.52495</v>
      </c>
      <c r="I71" s="20"/>
      <c r="K71" s="23" t="n">
        <f aca="false">Рынок!$D$3</f>
        <v>0.665291730423791</v>
      </c>
      <c r="L71" s="3" t="n">
        <f aca="false">K71*F71*E71</f>
        <v>6.02082363116227</v>
      </c>
    </row>
    <row r="72" customFormat="false" ht="15" hidden="false" customHeight="true" outlineLevel="0" collapsed="false">
      <c r="A72" s="47" t="s">
        <v>11</v>
      </c>
      <c r="B72" s="15" t="s">
        <v>484</v>
      </c>
      <c r="C72" s="30" t="s">
        <v>174</v>
      </c>
      <c r="D72" s="16" t="s">
        <v>157</v>
      </c>
      <c r="E72" s="35" t="n">
        <f aca="false">(1.18+1.1+1.27+1.34+0.15)*2.7+2.15*2.7/2+(0.67*1.57)</f>
        <v>17.5624</v>
      </c>
      <c r="F72" s="24" t="n">
        <v>2</v>
      </c>
      <c r="G72" s="12" t="n">
        <f aca="false">'Dups+ B&amp;B Rates'!$I$18</f>
        <v>1</v>
      </c>
      <c r="H72" s="22" t="n">
        <f aca="false">G72*F72*E72</f>
        <v>35.1248</v>
      </c>
      <c r="I72" s="20"/>
      <c r="K72" s="21" t="n">
        <f aca="false">G72</f>
        <v>1</v>
      </c>
      <c r="L72" s="3" t="n">
        <f aca="false">K72*F72*E72</f>
        <v>35.1248</v>
      </c>
    </row>
    <row r="73" customFormat="false" ht="15" hidden="false" customHeight="true" outlineLevel="0" collapsed="false">
      <c r="A73" s="47" t="s">
        <v>11</v>
      </c>
      <c r="B73" s="15" t="s">
        <v>175</v>
      </c>
      <c r="C73" s="30" t="s">
        <v>175</v>
      </c>
      <c r="D73" s="16" t="s">
        <v>157</v>
      </c>
      <c r="E73" s="35" t="n">
        <f aca="false">E68</f>
        <v>9.0499</v>
      </c>
      <c r="F73" s="24" t="n">
        <v>2</v>
      </c>
      <c r="G73" s="12" t="n">
        <f aca="false">'Dups+ B&amp;B Rates'!$I$17</f>
        <v>1.5</v>
      </c>
      <c r="H73" s="22" t="n">
        <f aca="false">G73*F73*E73</f>
        <v>27.1497</v>
      </c>
      <c r="I73" s="20"/>
      <c r="K73" s="21" t="n">
        <f aca="false">G73</f>
        <v>1.5</v>
      </c>
      <c r="L73" s="3" t="n">
        <f aca="false">K73*F73*E73</f>
        <v>27.1497</v>
      </c>
    </row>
    <row r="74" customFormat="false" ht="15" hidden="false" customHeight="true" outlineLevel="0" collapsed="false">
      <c r="A74" s="49" t="s">
        <v>12</v>
      </c>
      <c r="B74" s="15" t="s">
        <v>477</v>
      </c>
      <c r="C74" s="15" t="s">
        <v>159</v>
      </c>
      <c r="D74" s="16" t="s">
        <v>157</v>
      </c>
      <c r="E74" s="35" t="n">
        <f aca="false">0.9*2.7</f>
        <v>2.43</v>
      </c>
      <c r="F74" s="24" t="n">
        <v>1</v>
      </c>
      <c r="G74" s="12" t="n">
        <f aca="false">'Dups+ B&amp;B Rates'!$I$8</f>
        <v>8</v>
      </c>
      <c r="H74" s="22" t="n">
        <f aca="false">G74*F74*E74</f>
        <v>19.44</v>
      </c>
      <c r="I74" s="20"/>
      <c r="K74" s="23" t="n">
        <f aca="false">Рынок!$D$8</f>
        <v>10.6446676867807</v>
      </c>
      <c r="L74" s="3" t="n">
        <f aca="false">K74*F74*E74</f>
        <v>25.866542478877</v>
      </c>
    </row>
    <row r="75" customFormat="false" ht="15" hidden="false" customHeight="true" outlineLevel="0" collapsed="false">
      <c r="A75" s="49" t="s">
        <v>12</v>
      </c>
      <c r="B75" s="15" t="s">
        <v>485</v>
      </c>
      <c r="C75" s="15" t="s">
        <v>486</v>
      </c>
      <c r="D75" s="16" t="s">
        <v>157</v>
      </c>
      <c r="E75" s="35" t="n">
        <f aca="false">0.2*2.7</f>
        <v>0.54</v>
      </c>
      <c r="F75" s="24" t="n">
        <v>1</v>
      </c>
      <c r="G75" s="12" t="n">
        <f aca="false">'Dups+ B&amp;B Rates'!$I$34</f>
        <v>15</v>
      </c>
      <c r="H75" s="48" t="n">
        <f aca="false">G75*F75*E75</f>
        <v>8.1</v>
      </c>
      <c r="I75" s="20"/>
      <c r="K75" s="21" t="n">
        <f aca="false">G75</f>
        <v>15</v>
      </c>
      <c r="L75" s="3" t="n">
        <f aca="false">K75*F75*E75</f>
        <v>8.1</v>
      </c>
    </row>
    <row r="76" customFormat="false" ht="15" hidden="false" customHeight="true" outlineLevel="0" collapsed="false">
      <c r="A76" s="50" t="s">
        <v>12</v>
      </c>
      <c r="B76" s="15" t="s">
        <v>487</v>
      </c>
      <c r="C76" s="33" t="s">
        <v>226</v>
      </c>
      <c r="D76" s="34" t="s">
        <v>157</v>
      </c>
      <c r="E76" s="35" t="n">
        <f aca="false">1.35*2.7+1.48*0.68</f>
        <v>4.6514</v>
      </c>
      <c r="F76" s="36" t="n">
        <v>1</v>
      </c>
      <c r="G76" s="37" t="n">
        <f aca="false">'Dups+ B&amp;B Rates'!$I$23</f>
        <v>15</v>
      </c>
      <c r="H76" s="51" t="n">
        <f aca="false">G76*F76*E76</f>
        <v>69.771</v>
      </c>
      <c r="I76" s="39"/>
      <c r="K76" s="21" t="n">
        <f aca="false">G76</f>
        <v>15</v>
      </c>
      <c r="L76" s="3" t="n">
        <f aca="false">K76*F76*E76</f>
        <v>69.771</v>
      </c>
    </row>
    <row r="77" customFormat="false" ht="15" hidden="false" customHeight="true" outlineLevel="0" collapsed="false">
      <c r="A77" s="49" t="s">
        <v>12</v>
      </c>
      <c r="B77" s="15" t="s">
        <v>488</v>
      </c>
      <c r="C77" s="15" t="s">
        <v>159</v>
      </c>
      <c r="D77" s="16" t="s">
        <v>157</v>
      </c>
      <c r="E77" s="35" t="n">
        <f aca="false">E76/2</f>
        <v>2.3257</v>
      </c>
      <c r="F77" s="24" t="n">
        <v>1</v>
      </c>
      <c r="G77" s="12" t="n">
        <f aca="false">'Dups+ B&amp;B Rates'!$I$8</f>
        <v>8</v>
      </c>
      <c r="H77" s="22" t="n">
        <f aca="false">G77*F77*E77</f>
        <v>18.6056</v>
      </c>
      <c r="I77" s="20"/>
      <c r="K77" s="23" t="n">
        <f aca="false">Рынок!$D$8</f>
        <v>10.6446676867807</v>
      </c>
      <c r="L77" s="3" t="n">
        <f aca="false">K77*F77*E77</f>
        <v>24.7563036391458</v>
      </c>
    </row>
    <row r="78" customFormat="false" ht="15" hidden="false" customHeight="true" outlineLevel="0" collapsed="false">
      <c r="A78" s="49" t="s">
        <v>12</v>
      </c>
      <c r="B78" s="15" t="s">
        <v>489</v>
      </c>
      <c r="C78" s="15" t="s">
        <v>159</v>
      </c>
      <c r="D78" s="16" t="s">
        <v>157</v>
      </c>
      <c r="E78" s="35" t="n">
        <f aca="false">1.25*0.86/2</f>
        <v>0.5375</v>
      </c>
      <c r="F78" s="24" t="n">
        <v>1</v>
      </c>
      <c r="G78" s="12" t="n">
        <f aca="false">'Dups+ B&amp;B Rates'!$I$8</f>
        <v>8</v>
      </c>
      <c r="H78" s="22" t="n">
        <f aca="false">G78*F78*E78</f>
        <v>4.3</v>
      </c>
      <c r="I78" s="20"/>
      <c r="K78" s="23" t="n">
        <f aca="false">Рынок!$D$8</f>
        <v>10.6446676867807</v>
      </c>
      <c r="L78" s="3" t="n">
        <f aca="false">K78*F78*E78</f>
        <v>5.7215088816446</v>
      </c>
    </row>
    <row r="79" customFormat="false" ht="15" hidden="false" customHeight="true" outlineLevel="0" collapsed="false">
      <c r="A79" s="49" t="s">
        <v>12</v>
      </c>
      <c r="B79" s="15" t="s">
        <v>463</v>
      </c>
      <c r="C79" s="15" t="s">
        <v>161</v>
      </c>
      <c r="D79" s="16" t="s">
        <v>157</v>
      </c>
      <c r="E79" s="35" t="n">
        <f aca="false">0.8*1.49</f>
        <v>1.192</v>
      </c>
      <c r="F79" s="24" t="n">
        <v>1</v>
      </c>
      <c r="G79" s="12" t="n">
        <f aca="false">'Dups+ B&amp;B Rates'!$I$9</f>
        <v>9</v>
      </c>
      <c r="H79" s="22" t="n">
        <f aca="false">G79*F79*E79</f>
        <v>10.728</v>
      </c>
      <c r="I79" s="20"/>
      <c r="K79" s="23" t="n">
        <f aca="false">Рынок!$D$9</f>
        <v>10.6446676867807</v>
      </c>
      <c r="L79" s="3" t="n">
        <f aca="false">K79*F79*E79</f>
        <v>12.6884438826425</v>
      </c>
    </row>
    <row r="80" customFormat="false" ht="15" hidden="false" customHeight="true" outlineLevel="0" collapsed="false">
      <c r="A80" s="49" t="s">
        <v>12</v>
      </c>
      <c r="B80" s="15" t="s">
        <v>490</v>
      </c>
      <c r="C80" s="30" t="s">
        <v>491</v>
      </c>
      <c r="D80" s="16" t="s">
        <v>157</v>
      </c>
      <c r="E80" s="35" t="n">
        <f aca="false">0.9*2.7</f>
        <v>2.43</v>
      </c>
      <c r="F80" s="24" t="n">
        <v>1</v>
      </c>
      <c r="G80" s="27"/>
      <c r="H80" s="28"/>
      <c r="I80" s="20"/>
      <c r="J80" s="1" t="s">
        <v>492</v>
      </c>
    </row>
    <row r="81" customFormat="false" ht="15" hidden="false" customHeight="true" outlineLevel="0" collapsed="false">
      <c r="A81" s="49" t="s">
        <v>12</v>
      </c>
      <c r="B81" s="15" t="s">
        <v>493</v>
      </c>
      <c r="C81" s="30" t="s">
        <v>215</v>
      </c>
      <c r="D81" s="16" t="s">
        <v>424</v>
      </c>
      <c r="E81" s="35" t="n">
        <f aca="false">0.8*2+1.5*2+2.67*2+0.65*2</f>
        <v>11.24</v>
      </c>
      <c r="F81" s="24" t="n">
        <v>1</v>
      </c>
      <c r="G81" s="12" t="n">
        <f aca="false">'Dups+ B&amp;B Rates'!$I$28</f>
        <v>3</v>
      </c>
      <c r="H81" s="22" t="n">
        <f aca="false">G81*F81*E81</f>
        <v>33.72</v>
      </c>
      <c r="I81" s="20"/>
      <c r="J81" s="26" t="s">
        <v>425</v>
      </c>
      <c r="K81" s="21" t="n">
        <f aca="false">G81</f>
        <v>3</v>
      </c>
      <c r="L81" s="3" t="n">
        <f aca="false">K81*F81*E81</f>
        <v>33.72</v>
      </c>
    </row>
    <row r="82" customFormat="false" ht="15" hidden="false" customHeight="true" outlineLevel="0" collapsed="false">
      <c r="A82" s="49" t="s">
        <v>12</v>
      </c>
      <c r="B82" s="15" t="s">
        <v>475</v>
      </c>
      <c r="C82" s="30" t="s">
        <v>170</v>
      </c>
      <c r="D82" s="16" t="s">
        <v>424</v>
      </c>
      <c r="E82" s="35" t="n">
        <v>1.49</v>
      </c>
      <c r="F82" s="24" t="n">
        <v>1</v>
      </c>
      <c r="G82" s="12" t="n">
        <f aca="false">'Dups+ B&amp;B Rates'!$I$22</f>
        <v>2.5</v>
      </c>
      <c r="H82" s="22" t="n">
        <f aca="false">G82*F82*E82</f>
        <v>3.725</v>
      </c>
      <c r="I82" s="20"/>
      <c r="K82" s="21" t="n">
        <f aca="false">G82</f>
        <v>2.5</v>
      </c>
      <c r="L82" s="3" t="n">
        <f aca="false">K82*F82*E82</f>
        <v>3.725</v>
      </c>
    </row>
    <row r="83" customFormat="false" ht="15" hidden="false" customHeight="true" outlineLevel="0" collapsed="false">
      <c r="A83" s="49" t="s">
        <v>12</v>
      </c>
      <c r="B83" s="15" t="s">
        <v>494</v>
      </c>
      <c r="C83" s="30" t="s">
        <v>231</v>
      </c>
      <c r="D83" s="16" t="s">
        <v>157</v>
      </c>
      <c r="E83" s="35" t="n">
        <f aca="false">0.9*2.7</f>
        <v>2.43</v>
      </c>
      <c r="F83" s="24" t="n">
        <v>1</v>
      </c>
      <c r="G83" s="12" t="n">
        <f aca="false">'Dups+ B&amp;B Rates'!$I$28</f>
        <v>3</v>
      </c>
      <c r="H83" s="22" t="n">
        <f aca="false">G83*F83*E83</f>
        <v>7.29</v>
      </c>
      <c r="I83" s="20"/>
      <c r="K83" s="21" t="n">
        <f aca="false">G83</f>
        <v>3</v>
      </c>
      <c r="L83" s="3" t="n">
        <f aca="false">K83*F83*E83</f>
        <v>7.29</v>
      </c>
    </row>
    <row r="84" customFormat="false" ht="15" hidden="false" customHeight="true" outlineLevel="0" collapsed="false">
      <c r="A84" s="49" t="s">
        <v>12</v>
      </c>
      <c r="B84" s="25" t="s">
        <v>423</v>
      </c>
      <c r="C84" s="15" t="s">
        <v>163</v>
      </c>
      <c r="D84" s="16" t="s">
        <v>424</v>
      </c>
      <c r="E84" s="35" t="n">
        <f aca="false">2.68*3+0.65*3+0.8*3+1.49*2</f>
        <v>15.37</v>
      </c>
      <c r="F84" s="24" t="n">
        <v>1</v>
      </c>
      <c r="G84" s="12" t="n">
        <f aca="false">'Dups+ B&amp;B Rates'!$I$19</f>
        <v>2</v>
      </c>
      <c r="H84" s="22" t="n">
        <f aca="false">G84*F84*E84</f>
        <v>30.74</v>
      </c>
      <c r="I84" s="20"/>
      <c r="K84" s="21" t="n">
        <f aca="false">G84</f>
        <v>2</v>
      </c>
      <c r="L84" s="3" t="n">
        <f aca="false">K84*F84*E84</f>
        <v>30.74</v>
      </c>
    </row>
    <row r="85" customFormat="false" ht="15" hidden="false" customHeight="true" outlineLevel="0" collapsed="false">
      <c r="A85" s="49" t="s">
        <v>12</v>
      </c>
      <c r="B85" s="15" t="s">
        <v>205</v>
      </c>
      <c r="C85" s="15" t="s">
        <v>205</v>
      </c>
      <c r="D85" s="16" t="s">
        <v>424</v>
      </c>
      <c r="E85" s="35" t="n">
        <f aca="false">E84-E86</f>
        <v>5.38</v>
      </c>
      <c r="F85" s="24" t="n">
        <v>1</v>
      </c>
      <c r="G85" s="12" t="n">
        <f aca="false">'Dups+ B&amp;B Rates'!$I$27</f>
        <v>4</v>
      </c>
      <c r="H85" s="22" t="n">
        <f aca="false">G85*F85*E85</f>
        <v>21.52</v>
      </c>
      <c r="I85" s="20"/>
      <c r="J85" s="26" t="s">
        <v>425</v>
      </c>
      <c r="K85" s="21" t="n">
        <f aca="false">G85</f>
        <v>4</v>
      </c>
      <c r="L85" s="3" t="n">
        <f aca="false">K85*F85*E85</f>
        <v>21.52</v>
      </c>
    </row>
    <row r="86" customFormat="false" ht="15" hidden="false" customHeight="true" outlineLevel="0" collapsed="false">
      <c r="A86" s="49" t="s">
        <v>12</v>
      </c>
      <c r="B86" s="15" t="s">
        <v>207</v>
      </c>
      <c r="C86" s="15" t="s">
        <v>207</v>
      </c>
      <c r="D86" s="16" t="s">
        <v>424</v>
      </c>
      <c r="E86" s="35" t="n">
        <f aca="false">2.68*3+0.65*3</f>
        <v>9.99</v>
      </c>
      <c r="F86" s="24" t="n">
        <v>1</v>
      </c>
      <c r="G86" s="12" t="n">
        <f aca="false">'Dups+ B&amp;B Rates'!$I$28</f>
        <v>3</v>
      </c>
      <c r="H86" s="22" t="n">
        <f aca="false">G86*F86*E86</f>
        <v>29.97</v>
      </c>
      <c r="I86" s="20"/>
      <c r="J86" s="26" t="s">
        <v>425</v>
      </c>
      <c r="K86" s="21" t="n">
        <f aca="false">G86</f>
        <v>3</v>
      </c>
      <c r="L86" s="3" t="n">
        <f aca="false">K86*F86*E86</f>
        <v>29.97</v>
      </c>
    </row>
    <row r="87" customFormat="false" ht="15" hidden="false" customHeight="true" outlineLevel="0" collapsed="false">
      <c r="A87" s="49" t="s">
        <v>12</v>
      </c>
      <c r="B87" s="15" t="s">
        <v>495</v>
      </c>
      <c r="C87" s="30"/>
      <c r="D87" s="16" t="s">
        <v>424</v>
      </c>
      <c r="E87" s="35" t="n">
        <f aca="false">2.5+1.5+2</f>
        <v>6</v>
      </c>
      <c r="F87" s="24" t="n">
        <v>1</v>
      </c>
      <c r="G87" s="12"/>
      <c r="H87" s="48"/>
      <c r="I87" s="20"/>
      <c r="J87" s="1" t="s">
        <v>456</v>
      </c>
    </row>
    <row r="88" customFormat="false" ht="15" hidden="false" customHeight="true" outlineLevel="0" collapsed="false">
      <c r="A88" s="49" t="s">
        <v>12</v>
      </c>
      <c r="B88" s="15" t="s">
        <v>430</v>
      </c>
      <c r="C88" s="15" t="s">
        <v>172</v>
      </c>
      <c r="D88" s="16" t="s">
        <v>157</v>
      </c>
      <c r="E88" s="35" t="n">
        <f aca="false">E91</f>
        <v>9.6882</v>
      </c>
      <c r="F88" s="24" t="n">
        <v>1</v>
      </c>
      <c r="G88" s="12" t="n">
        <f aca="false">'Dups+ B&amp;B Rates'!$I$3</f>
        <v>0.5</v>
      </c>
      <c r="H88" s="22" t="n">
        <f aca="false">G88*F88*E88</f>
        <v>4.8441</v>
      </c>
      <c r="I88" s="20"/>
      <c r="K88" s="23" t="n">
        <f aca="false">Рынок!$D$3</f>
        <v>0.665291730423791</v>
      </c>
      <c r="L88" s="3" t="n">
        <f aca="false">K88*F88*E88</f>
        <v>6.44547934269177</v>
      </c>
    </row>
    <row r="89" customFormat="false" ht="15" hidden="false" customHeight="true" outlineLevel="0" collapsed="false">
      <c r="A89" s="49" t="s">
        <v>12</v>
      </c>
      <c r="B89" s="15" t="s">
        <v>431</v>
      </c>
      <c r="C89" s="15" t="s">
        <v>187</v>
      </c>
      <c r="D89" s="16" t="s">
        <v>157</v>
      </c>
      <c r="E89" s="35" t="n">
        <f aca="false">E93</f>
        <v>1.305</v>
      </c>
      <c r="F89" s="24" t="n">
        <v>1</v>
      </c>
      <c r="G89" s="12" t="n">
        <f aca="false">'Dups+ B&amp;B Rates'!$I$3</f>
        <v>0.5</v>
      </c>
      <c r="H89" s="22" t="n">
        <f aca="false">G89*F89*E89</f>
        <v>0.6525</v>
      </c>
      <c r="I89" s="20"/>
      <c r="K89" s="23" t="n">
        <f aca="false">Рынок!$D$3</f>
        <v>0.665291730423791</v>
      </c>
      <c r="L89" s="3" t="n">
        <f aca="false">K89*F89*E89</f>
        <v>0.868205708203047</v>
      </c>
    </row>
    <row r="90" customFormat="false" ht="15" hidden="false" customHeight="true" outlineLevel="0" collapsed="false">
      <c r="A90" s="44" t="s">
        <v>12</v>
      </c>
      <c r="B90" s="44" t="s">
        <v>496</v>
      </c>
      <c r="C90" s="15" t="s">
        <v>172</v>
      </c>
      <c r="D90" s="52" t="s">
        <v>157</v>
      </c>
      <c r="E90" s="53" t="n">
        <f aca="false">(0.67*1.5)+(0.87*2.68)*2+(1.5*2.68)</f>
        <v>9.6882</v>
      </c>
      <c r="F90" s="54" t="n">
        <v>1</v>
      </c>
      <c r="G90" s="12" t="n">
        <f aca="false">'Dups+ B&amp;B Rates'!$I$3</f>
        <v>0.5</v>
      </c>
      <c r="H90" s="22" t="n">
        <f aca="false">G90*F90*E90</f>
        <v>4.8441</v>
      </c>
      <c r="I90" s="20"/>
      <c r="K90" s="23" t="n">
        <f aca="false">Рынок!$D$3</f>
        <v>0.665291730423791</v>
      </c>
      <c r="L90" s="3" t="n">
        <f aca="false">K90*F90*E90</f>
        <v>6.44547934269177</v>
      </c>
    </row>
    <row r="91" customFormat="false" ht="15" hidden="false" customHeight="true" outlineLevel="0" collapsed="false">
      <c r="A91" s="49" t="s">
        <v>12</v>
      </c>
      <c r="B91" s="15" t="s">
        <v>484</v>
      </c>
      <c r="C91" s="30" t="s">
        <v>174</v>
      </c>
      <c r="D91" s="16" t="s">
        <v>157</v>
      </c>
      <c r="E91" s="35" t="n">
        <f aca="false">(0.67*1.5)+(0.87*2.68)*2+(1.5*2.68)</f>
        <v>9.6882</v>
      </c>
      <c r="F91" s="24" t="n">
        <v>2</v>
      </c>
      <c r="G91" s="12" t="n">
        <f aca="false">'Dups+ B&amp;B Rates'!$I$18</f>
        <v>1</v>
      </c>
      <c r="H91" s="22" t="n">
        <f aca="false">G91*F91*E91</f>
        <v>19.3764</v>
      </c>
      <c r="I91" s="20"/>
      <c r="K91" s="21" t="n">
        <f aca="false">G91</f>
        <v>1</v>
      </c>
      <c r="L91" s="3" t="n">
        <f aca="false">K91*F91*E91</f>
        <v>19.3764</v>
      </c>
    </row>
    <row r="92" customFormat="false" ht="15" hidden="false" customHeight="true" outlineLevel="0" collapsed="false">
      <c r="A92" s="49" t="s">
        <v>12</v>
      </c>
      <c r="B92" s="15" t="s">
        <v>497</v>
      </c>
      <c r="C92" s="30" t="s">
        <v>497</v>
      </c>
      <c r="D92" s="16" t="s">
        <v>436</v>
      </c>
      <c r="E92" s="35" t="n">
        <v>2</v>
      </c>
      <c r="F92" s="24" t="n">
        <v>1</v>
      </c>
      <c r="G92" s="27"/>
      <c r="H92" s="55"/>
      <c r="I92" s="20"/>
      <c r="J92" s="1" t="s">
        <v>498</v>
      </c>
    </row>
    <row r="93" customFormat="false" ht="15" hidden="false" customHeight="true" outlineLevel="0" collapsed="false">
      <c r="A93" s="49" t="s">
        <v>12</v>
      </c>
      <c r="B93" s="15" t="s">
        <v>175</v>
      </c>
      <c r="C93" s="30" t="s">
        <v>175</v>
      </c>
      <c r="D93" s="16" t="s">
        <v>157</v>
      </c>
      <c r="E93" s="35" t="n">
        <f aca="false">1.5*0.87</f>
        <v>1.305</v>
      </c>
      <c r="F93" s="24" t="n">
        <v>2</v>
      </c>
      <c r="G93" s="12" t="n">
        <f aca="false">'Dups+ B&amp;B Rates'!$I$17</f>
        <v>1.5</v>
      </c>
      <c r="H93" s="22" t="n">
        <f aca="false">G93*F93*E93</f>
        <v>3.915</v>
      </c>
      <c r="I93" s="20"/>
      <c r="K93" s="21" t="n">
        <f aca="false">G93</f>
        <v>1.5</v>
      </c>
      <c r="L93" s="3" t="n">
        <f aca="false">K93*F93*E93</f>
        <v>3.915</v>
      </c>
    </row>
    <row r="94" customFormat="false" ht="15" hidden="false" customHeight="true" outlineLevel="0" collapsed="false">
      <c r="A94" s="49" t="s">
        <v>12</v>
      </c>
      <c r="B94" s="15" t="s">
        <v>499</v>
      </c>
      <c r="C94" s="30"/>
      <c r="D94" s="16" t="s">
        <v>179</v>
      </c>
      <c r="E94" s="35" t="n">
        <v>1</v>
      </c>
      <c r="F94" s="24" t="n">
        <v>1</v>
      </c>
      <c r="G94" s="12"/>
      <c r="H94" s="48"/>
      <c r="I94" s="20"/>
      <c r="J94" s="1" t="s">
        <v>456</v>
      </c>
    </row>
    <row r="95" customFormat="false" ht="15" hidden="false" customHeight="true" outlineLevel="1" collapsed="false">
      <c r="A95" s="56" t="s">
        <v>13</v>
      </c>
      <c r="B95" s="15" t="s">
        <v>500</v>
      </c>
      <c r="C95" s="33" t="s">
        <v>226</v>
      </c>
      <c r="D95" s="16" t="s">
        <v>157</v>
      </c>
      <c r="E95" s="35" t="n">
        <f aca="false">2.06*0.2</f>
        <v>0.412</v>
      </c>
      <c r="F95" s="24" t="n">
        <v>1</v>
      </c>
      <c r="G95" s="12" t="n">
        <f aca="false">'Dups+ B&amp;B Rates'!$I$23</f>
        <v>15</v>
      </c>
      <c r="H95" s="22" t="n">
        <f aca="false">G95*F95*E95</f>
        <v>6.18</v>
      </c>
      <c r="I95" s="20"/>
      <c r="K95" s="21" t="n">
        <f aca="false">G95</f>
        <v>15</v>
      </c>
      <c r="L95" s="3" t="n">
        <f aca="false">K95*F95*E95</f>
        <v>6.18</v>
      </c>
    </row>
    <row r="96" customFormat="false" ht="15" hidden="false" customHeight="true" outlineLevel="1" collapsed="false">
      <c r="A96" s="56" t="s">
        <v>13</v>
      </c>
      <c r="B96" s="15" t="s">
        <v>501</v>
      </c>
      <c r="C96" s="15" t="s">
        <v>212</v>
      </c>
      <c r="D96" s="16" t="s">
        <v>424</v>
      </c>
      <c r="E96" s="35" t="n">
        <v>4</v>
      </c>
      <c r="F96" s="24" t="n">
        <v>1</v>
      </c>
      <c r="G96" s="57" t="n">
        <f aca="false">'Dups+ B&amp;B Rates'!$I$21</f>
        <v>15</v>
      </c>
      <c r="H96" s="22" t="n">
        <f aca="false">G96*F96*E96</f>
        <v>60</v>
      </c>
      <c r="I96" s="20"/>
      <c r="J96" s="26" t="s">
        <v>502</v>
      </c>
      <c r="K96" s="21" t="n">
        <f aca="false">G96</f>
        <v>15</v>
      </c>
      <c r="L96" s="3" t="n">
        <f aca="false">K96*F96*E96</f>
        <v>60</v>
      </c>
    </row>
    <row r="97" customFormat="false" ht="15" hidden="false" customHeight="true" outlineLevel="1" collapsed="false">
      <c r="A97" s="56" t="s">
        <v>13</v>
      </c>
      <c r="B97" s="15" t="s">
        <v>503</v>
      </c>
      <c r="C97" s="30" t="s">
        <v>504</v>
      </c>
      <c r="D97" s="16" t="s">
        <v>157</v>
      </c>
      <c r="E97" s="35" t="n">
        <f aca="false">(2.75*1.38-0.7*2.06)+(1.38*0.53+2.05*0.5)+1.1*0.5</f>
        <v>4.6594</v>
      </c>
      <c r="F97" s="18" t="n">
        <v>1</v>
      </c>
      <c r="G97" s="12" t="n">
        <f aca="false">'Dups+ B&amp;B Rates'!$I$7</f>
        <v>4</v>
      </c>
      <c r="H97" s="22" t="n">
        <f aca="false">G97*F97*E97</f>
        <v>18.6376</v>
      </c>
      <c r="I97" s="20"/>
      <c r="K97" s="21" t="n">
        <f aca="false">G97</f>
        <v>4</v>
      </c>
      <c r="L97" s="3" t="n">
        <f aca="false">K97*F97*E97</f>
        <v>18.6376</v>
      </c>
    </row>
    <row r="98" customFormat="false" ht="15" hidden="false" customHeight="true" outlineLevel="1" collapsed="false">
      <c r="A98" s="56" t="s">
        <v>13</v>
      </c>
      <c r="B98" s="15" t="s">
        <v>422</v>
      </c>
      <c r="C98" s="15" t="s">
        <v>240</v>
      </c>
      <c r="D98" s="16" t="s">
        <v>157</v>
      </c>
      <c r="E98" s="35" t="n">
        <f aca="false">1.38*1.1</f>
        <v>1.518</v>
      </c>
      <c r="F98" s="24" t="n">
        <v>1</v>
      </c>
      <c r="G98" s="12" t="n">
        <f aca="false">'Dups+ B&amp;B Rates'!$I$9</f>
        <v>9</v>
      </c>
      <c r="H98" s="22" t="n">
        <f aca="false">G98*F98*E98</f>
        <v>13.662</v>
      </c>
      <c r="I98" s="20"/>
      <c r="K98" s="23" t="n">
        <f aca="false">Рынок!$D$9</f>
        <v>10.6446676867807</v>
      </c>
      <c r="L98" s="3" t="n">
        <f aca="false">K98*F98*E98</f>
        <v>16.158605548533</v>
      </c>
    </row>
    <row r="99" customFormat="false" ht="15" hidden="false" customHeight="true" outlineLevel="1" collapsed="false">
      <c r="A99" s="56" t="s">
        <v>13</v>
      </c>
      <c r="B99" s="25" t="s">
        <v>423</v>
      </c>
      <c r="C99" s="15" t="s">
        <v>163</v>
      </c>
      <c r="D99" s="16" t="s">
        <v>424</v>
      </c>
      <c r="E99" s="35" t="n">
        <f aca="false">1.38+1.1*2+0.63*3+2.7</f>
        <v>8.17</v>
      </c>
      <c r="F99" s="24" t="n">
        <v>1</v>
      </c>
      <c r="G99" s="12" t="n">
        <f aca="false">'Dups+ B&amp;B Rates'!$I$19</f>
        <v>2</v>
      </c>
      <c r="H99" s="22" t="n">
        <f aca="false">G99*F99*E99</f>
        <v>16.34</v>
      </c>
      <c r="I99" s="20"/>
      <c r="K99" s="21" t="n">
        <f aca="false">G99</f>
        <v>2</v>
      </c>
      <c r="L99" s="3" t="n">
        <f aca="false">K99*F99*E99</f>
        <v>16.34</v>
      </c>
    </row>
    <row r="100" customFormat="false" ht="15" hidden="false" customHeight="true" outlineLevel="1" collapsed="false">
      <c r="A100" s="56" t="s">
        <v>13</v>
      </c>
      <c r="B100" s="15" t="s">
        <v>205</v>
      </c>
      <c r="C100" s="15" t="s">
        <v>205</v>
      </c>
      <c r="D100" s="16" t="s">
        <v>424</v>
      </c>
      <c r="E100" s="35" t="n">
        <f aca="false">1.38*2+1.1</f>
        <v>3.86</v>
      </c>
      <c r="F100" s="24" t="n">
        <v>1</v>
      </c>
      <c r="G100" s="12" t="n">
        <f aca="false">'Dups+ B&amp;B Rates'!$I$27</f>
        <v>4</v>
      </c>
      <c r="H100" s="22" t="n">
        <f aca="false">G100*F100*E100</f>
        <v>15.44</v>
      </c>
      <c r="I100" s="20"/>
      <c r="J100" s="26" t="s">
        <v>425</v>
      </c>
      <c r="K100" s="21" t="n">
        <f aca="false">G100</f>
        <v>4</v>
      </c>
      <c r="L100" s="3" t="n">
        <f aca="false">K100*F100*E100</f>
        <v>15.44</v>
      </c>
    </row>
    <row r="101" customFormat="false" ht="15" hidden="false" customHeight="true" outlineLevel="1" collapsed="false">
      <c r="A101" s="56" t="s">
        <v>13</v>
      </c>
      <c r="B101" s="15" t="s">
        <v>207</v>
      </c>
      <c r="C101" s="15" t="s">
        <v>207</v>
      </c>
      <c r="D101" s="16" t="s">
        <v>424</v>
      </c>
      <c r="E101" s="35" t="n">
        <f aca="false">E99-E100</f>
        <v>4.31</v>
      </c>
      <c r="F101" s="24" t="n">
        <v>1</v>
      </c>
      <c r="G101" s="12" t="n">
        <f aca="false">'Dups+ B&amp;B Rates'!$I$28</f>
        <v>3</v>
      </c>
      <c r="H101" s="22" t="n">
        <f aca="false">G101*F101*E101</f>
        <v>12.93</v>
      </c>
      <c r="I101" s="20"/>
      <c r="J101" s="26" t="s">
        <v>425</v>
      </c>
      <c r="K101" s="21" t="n">
        <f aca="false">G101</f>
        <v>3</v>
      </c>
      <c r="L101" s="3" t="n">
        <f aca="false">K101*F101*E101</f>
        <v>12.93</v>
      </c>
    </row>
    <row r="102" customFormat="false" ht="15" hidden="false" customHeight="true" outlineLevel="1" collapsed="false">
      <c r="A102" s="56" t="s">
        <v>13</v>
      </c>
      <c r="B102" s="15" t="s">
        <v>431</v>
      </c>
      <c r="C102" s="15" t="s">
        <v>187</v>
      </c>
      <c r="D102" s="16" t="s">
        <v>157</v>
      </c>
      <c r="E102" s="35" t="n">
        <f aca="false">E98</f>
        <v>1.518</v>
      </c>
      <c r="F102" s="24" t="n">
        <v>1</v>
      </c>
      <c r="G102" s="12" t="n">
        <f aca="false">'Dups+ B&amp;B Rates'!$I$3</f>
        <v>0.5</v>
      </c>
      <c r="H102" s="22" t="n">
        <f aca="false">G102*F102*E102</f>
        <v>0.759</v>
      </c>
      <c r="I102" s="20"/>
      <c r="K102" s="23" t="n">
        <f aca="false">Рынок!$D$3</f>
        <v>0.665291730423791</v>
      </c>
      <c r="L102" s="3" t="n">
        <f aca="false">K102*F102*E102</f>
        <v>1.00991284678331</v>
      </c>
    </row>
    <row r="103" customFormat="false" ht="15" hidden="false" customHeight="true" outlineLevel="1" collapsed="false">
      <c r="A103" s="56" t="s">
        <v>13</v>
      </c>
      <c r="B103" s="15" t="s">
        <v>496</v>
      </c>
      <c r="C103" s="15" t="s">
        <v>172</v>
      </c>
      <c r="D103" s="16" t="s">
        <v>157</v>
      </c>
      <c r="E103" s="35" t="n">
        <f aca="false">E97+E95</f>
        <v>5.0714</v>
      </c>
      <c r="F103" s="24" t="n">
        <v>1</v>
      </c>
      <c r="G103" s="12" t="n">
        <f aca="false">'Dups+ B&amp;B Rates'!$I$3</f>
        <v>0.5</v>
      </c>
      <c r="H103" s="22" t="n">
        <f aca="false">G103*F103*E103</f>
        <v>2.5357</v>
      </c>
      <c r="I103" s="20"/>
      <c r="K103" s="23" t="n">
        <f aca="false">Рынок!$D$3</f>
        <v>0.665291730423791</v>
      </c>
      <c r="L103" s="3" t="n">
        <f aca="false">K103*F103*E103</f>
        <v>3.37396048167121</v>
      </c>
    </row>
    <row r="104" customFormat="false" ht="15" hidden="false" customHeight="true" outlineLevel="1" collapsed="false">
      <c r="A104" s="56" t="s">
        <v>13</v>
      </c>
      <c r="B104" s="15" t="s">
        <v>175</v>
      </c>
      <c r="C104" s="30" t="s">
        <v>175</v>
      </c>
      <c r="D104" s="16" t="s">
        <v>157</v>
      </c>
      <c r="E104" s="35" t="n">
        <f aca="false">E102</f>
        <v>1.518</v>
      </c>
      <c r="F104" s="24" t="n">
        <v>2</v>
      </c>
      <c r="G104" s="12" t="n">
        <f aca="false">'Dups+ B&amp;B Rates'!$I$17</f>
        <v>1.5</v>
      </c>
      <c r="H104" s="22" t="n">
        <f aca="false">G104*F104*E104</f>
        <v>4.554</v>
      </c>
      <c r="I104" s="20"/>
      <c r="K104" s="21" t="n">
        <f aca="false">G104</f>
        <v>1.5</v>
      </c>
      <c r="L104" s="3" t="n">
        <f aca="false">K104*F104*E104</f>
        <v>4.554</v>
      </c>
    </row>
    <row r="105" customFormat="false" ht="15" hidden="false" customHeight="true" outlineLevel="1" collapsed="false">
      <c r="A105" s="56" t="s">
        <v>13</v>
      </c>
      <c r="B105" s="15" t="s">
        <v>484</v>
      </c>
      <c r="C105" s="30" t="s">
        <v>174</v>
      </c>
      <c r="D105" s="16" t="s">
        <v>157</v>
      </c>
      <c r="E105" s="35" t="n">
        <f aca="false">E103</f>
        <v>5.0714</v>
      </c>
      <c r="F105" s="24" t="n">
        <v>2</v>
      </c>
      <c r="G105" s="12" t="n">
        <f aca="false">'Dups+ B&amp;B Rates'!$I$18</f>
        <v>1</v>
      </c>
      <c r="H105" s="22" t="n">
        <f aca="false">G105*F105*E105</f>
        <v>10.1428</v>
      </c>
      <c r="I105" s="20"/>
      <c r="K105" s="21" t="n">
        <f aca="false">G105</f>
        <v>1</v>
      </c>
      <c r="L105" s="3" t="n">
        <f aca="false">K105*F105*E105</f>
        <v>10.1428</v>
      </c>
    </row>
    <row r="106" customFormat="false" ht="15" hidden="false" customHeight="true" outlineLevel="1" collapsed="false">
      <c r="A106" s="58" t="s">
        <v>14</v>
      </c>
      <c r="B106" s="15" t="s">
        <v>433</v>
      </c>
      <c r="C106" s="15" t="s">
        <v>433</v>
      </c>
      <c r="D106" s="16" t="s">
        <v>157</v>
      </c>
      <c r="E106" s="35"/>
      <c r="F106" s="24" t="n">
        <v>1</v>
      </c>
      <c r="G106" s="12"/>
      <c r="H106" s="22"/>
      <c r="I106" s="20"/>
      <c r="J106" s="1" t="s">
        <v>456</v>
      </c>
    </row>
    <row r="107" customFormat="false" ht="15" hidden="false" customHeight="true" outlineLevel="1" collapsed="false">
      <c r="A107" s="59" t="s">
        <v>15</v>
      </c>
      <c r="B107" s="15" t="s">
        <v>422</v>
      </c>
      <c r="C107" s="15" t="s">
        <v>249</v>
      </c>
      <c r="D107" s="16" t="s">
        <v>157</v>
      </c>
      <c r="E107" s="35" t="n">
        <f aca="false">(2.15*6.73)+(1.05*3.22)+(0.55*1.05)+(0.55*0.57/2)</f>
        <v>18.58475</v>
      </c>
      <c r="F107" s="24" t="n">
        <v>1</v>
      </c>
      <c r="G107" s="12" t="n">
        <f aca="false">'Dups+ B&amp;B Rates'!$I$9</f>
        <v>9</v>
      </c>
      <c r="H107" s="22" t="n">
        <f aca="false">G107*F107*E107</f>
        <v>167.26275</v>
      </c>
      <c r="I107" s="20"/>
      <c r="K107" s="23" t="n">
        <f aca="false">Рынок!$D$9</f>
        <v>10.6446676867807</v>
      </c>
      <c r="L107" s="3" t="n">
        <f aca="false">K107*F107*E107</f>
        <v>197.828487791897</v>
      </c>
    </row>
    <row r="108" customFormat="false" ht="15" hidden="false" customHeight="true" outlineLevel="1" collapsed="false">
      <c r="A108" s="59" t="s">
        <v>15</v>
      </c>
      <c r="B108" s="15" t="s">
        <v>505</v>
      </c>
      <c r="C108" s="15" t="s">
        <v>506</v>
      </c>
      <c r="D108" s="16" t="s">
        <v>157</v>
      </c>
      <c r="E108" s="35" t="n">
        <f aca="false">2.11*3.6</f>
        <v>7.596</v>
      </c>
      <c r="F108" s="24" t="n">
        <v>1</v>
      </c>
      <c r="G108" s="27"/>
      <c r="H108" s="28"/>
      <c r="I108" s="20"/>
      <c r="J108" s="1" t="s">
        <v>507</v>
      </c>
    </row>
    <row r="109" customFormat="false" ht="15" hidden="false" customHeight="true" outlineLevel="1" collapsed="false">
      <c r="A109" s="59" t="s">
        <v>15</v>
      </c>
      <c r="B109" s="25" t="s">
        <v>423</v>
      </c>
      <c r="C109" s="15" t="s">
        <v>163</v>
      </c>
      <c r="D109" s="16" t="s">
        <v>424</v>
      </c>
      <c r="E109" s="35" t="n">
        <f aca="false">(2.15*5+3*1.05)+(6.73+3.2*2+2.15+1.05+1.05+0.57+4.52)</f>
        <v>36.37</v>
      </c>
      <c r="F109" s="24" t="n">
        <v>1</v>
      </c>
      <c r="G109" s="12" t="n">
        <f aca="false">'Dups+ B&amp;B Rates'!$I$19</f>
        <v>2</v>
      </c>
      <c r="H109" s="22" t="n">
        <f aca="false">G109*F109*E109</f>
        <v>72.74</v>
      </c>
      <c r="I109" s="20"/>
      <c r="K109" s="21" t="n">
        <f aca="false">G109</f>
        <v>2</v>
      </c>
      <c r="L109" s="3" t="n">
        <f aca="false">K109*F109*E109</f>
        <v>72.74</v>
      </c>
    </row>
    <row r="110" customFormat="false" ht="15" hidden="false" customHeight="true" outlineLevel="1" collapsed="false">
      <c r="A110" s="59" t="s">
        <v>15</v>
      </c>
      <c r="B110" s="15" t="s">
        <v>205</v>
      </c>
      <c r="C110" s="15" t="s">
        <v>215</v>
      </c>
      <c r="D110" s="16" t="s">
        <v>424</v>
      </c>
      <c r="E110" s="35" t="n">
        <f aca="false">(2.15*5+1.05*4)</f>
        <v>14.95</v>
      </c>
      <c r="F110" s="24" t="n">
        <v>1</v>
      </c>
      <c r="G110" s="12" t="n">
        <f aca="false">'Dups+ B&amp;B Rates'!$I$28</f>
        <v>3</v>
      </c>
      <c r="H110" s="22" t="n">
        <f aca="false">G110*F110*E110</f>
        <v>44.85</v>
      </c>
      <c r="I110" s="20"/>
      <c r="J110" s="26" t="s">
        <v>425</v>
      </c>
      <c r="K110" s="21" t="n">
        <f aca="false">G110</f>
        <v>3</v>
      </c>
      <c r="L110" s="3" t="n">
        <f aca="false">K110*F110*E110</f>
        <v>44.85</v>
      </c>
    </row>
    <row r="111" customFormat="false" ht="15" hidden="false" customHeight="true" outlineLevel="1" collapsed="false">
      <c r="A111" s="59" t="s">
        <v>15</v>
      </c>
      <c r="B111" s="15" t="s">
        <v>508</v>
      </c>
      <c r="C111" s="30" t="s">
        <v>253</v>
      </c>
      <c r="D111" s="16" t="s">
        <v>179</v>
      </c>
      <c r="E111" s="35" t="n">
        <v>24</v>
      </c>
      <c r="F111" s="24" t="n">
        <v>1</v>
      </c>
      <c r="G111" s="12" t="n">
        <f aca="false">'Dups+ B&amp;B Rates'!$I$30</f>
        <v>0.5</v>
      </c>
      <c r="H111" s="22" t="n">
        <f aca="false">G111*F111*E111</f>
        <v>12</v>
      </c>
      <c r="I111" s="20"/>
      <c r="K111" s="21" t="n">
        <f aca="false">G111</f>
        <v>0.5</v>
      </c>
      <c r="L111" s="3" t="n">
        <f aca="false">K111*F111*E111</f>
        <v>12</v>
      </c>
    </row>
    <row r="112" customFormat="false" ht="15" hidden="false" customHeight="true" outlineLevel="1" collapsed="false">
      <c r="A112" s="59" t="s">
        <v>15</v>
      </c>
      <c r="B112" s="15" t="s">
        <v>509</v>
      </c>
      <c r="C112" s="30" t="s">
        <v>510</v>
      </c>
      <c r="D112" s="16" t="s">
        <v>424</v>
      </c>
      <c r="E112" s="35" t="n">
        <v>7</v>
      </c>
      <c r="F112" s="24" t="n">
        <v>1</v>
      </c>
      <c r="G112" s="27"/>
      <c r="H112" s="28"/>
      <c r="I112" s="20"/>
      <c r="J112" s="1" t="s">
        <v>511</v>
      </c>
    </row>
    <row r="113" customFormat="false" ht="15" hidden="false" customHeight="true" outlineLevel="1" collapsed="false">
      <c r="A113" s="59" t="s">
        <v>15</v>
      </c>
      <c r="B113" s="15" t="s">
        <v>431</v>
      </c>
      <c r="C113" s="15" t="s">
        <v>187</v>
      </c>
      <c r="D113" s="16" t="s">
        <v>157</v>
      </c>
      <c r="E113" s="35" t="n">
        <f aca="false">(2.15*6.73)+(1.05*3.22)+(0.55*1.05)+(0.55*0.57/2)</f>
        <v>18.58475</v>
      </c>
      <c r="F113" s="24" t="n">
        <v>1</v>
      </c>
      <c r="G113" s="12" t="n">
        <f aca="false">'Dups+ B&amp;B Rates'!$I$3</f>
        <v>0.5</v>
      </c>
      <c r="H113" s="22" t="n">
        <f aca="false">G113*F113*E113</f>
        <v>9.292375</v>
      </c>
      <c r="I113" s="20"/>
      <c r="K113" s="23" t="n">
        <f aca="false">Рынок!$D$3</f>
        <v>0.665291730423791</v>
      </c>
      <c r="L113" s="3" t="n">
        <f aca="false">K113*F113*E113</f>
        <v>12.3642804869935</v>
      </c>
    </row>
    <row r="114" customFormat="false" ht="15" hidden="false" customHeight="true" outlineLevel="1" collapsed="false">
      <c r="A114" s="59" t="s">
        <v>15</v>
      </c>
      <c r="B114" s="15" t="s">
        <v>512</v>
      </c>
      <c r="C114" s="30" t="s">
        <v>175</v>
      </c>
      <c r="D114" s="16" t="s">
        <v>157</v>
      </c>
      <c r="E114" s="35" t="n">
        <f aca="false">(2.15*6.73)+(1.05*3.22)+(0.55*1.05)+(0.55*0.57/2)</f>
        <v>18.58475</v>
      </c>
      <c r="F114" s="24" t="n">
        <v>2</v>
      </c>
      <c r="G114" s="12" t="n">
        <f aca="false">'Dups+ B&amp;B Rates'!$I$17</f>
        <v>1.5</v>
      </c>
      <c r="H114" s="22" t="n">
        <f aca="false">G114*F114*E114</f>
        <v>55.75425</v>
      </c>
      <c r="I114" s="20"/>
      <c r="K114" s="21" t="n">
        <f aca="false">G114</f>
        <v>1.5</v>
      </c>
      <c r="L114" s="3" t="n">
        <f aca="false">K114*F114*E114</f>
        <v>55.75425</v>
      </c>
    </row>
    <row r="115" customFormat="false" ht="15" hidden="false" customHeight="true" outlineLevel="1" collapsed="false">
      <c r="A115" s="60" t="s">
        <v>16</v>
      </c>
      <c r="B115" s="15" t="s">
        <v>215</v>
      </c>
      <c r="C115" s="30" t="s">
        <v>215</v>
      </c>
      <c r="D115" s="16" t="s">
        <v>424</v>
      </c>
      <c r="E115" s="35" t="n">
        <v>9</v>
      </c>
      <c r="F115" s="24" t="n">
        <v>1</v>
      </c>
      <c r="G115" s="12" t="n">
        <f aca="false">'Dups+ B&amp;B Rates'!$I$28</f>
        <v>3</v>
      </c>
      <c r="H115" s="22" t="n">
        <f aca="false">G115*F115*E115</f>
        <v>27</v>
      </c>
      <c r="I115" s="20"/>
      <c r="J115" s="26" t="s">
        <v>425</v>
      </c>
      <c r="K115" s="21" t="n">
        <f aca="false">G115</f>
        <v>3</v>
      </c>
      <c r="L115" s="3" t="n">
        <f aca="false">K115*F115*E115</f>
        <v>27</v>
      </c>
    </row>
    <row r="116" customFormat="false" ht="15" hidden="false" customHeight="true" outlineLevel="1" collapsed="false">
      <c r="A116" s="60" t="s">
        <v>16</v>
      </c>
      <c r="B116" s="15" t="s">
        <v>496</v>
      </c>
      <c r="C116" s="15" t="s">
        <v>172</v>
      </c>
      <c r="D116" s="16" t="s">
        <v>157</v>
      </c>
      <c r="E116" s="35" t="n">
        <f aca="false">3.23*2.72*2</f>
        <v>17.5712</v>
      </c>
      <c r="F116" s="24" t="n">
        <v>1</v>
      </c>
      <c r="G116" s="12" t="n">
        <f aca="false">'Dups+ B&amp;B Rates'!$I$3</f>
        <v>0.5</v>
      </c>
      <c r="H116" s="22" t="n">
        <f aca="false">G116*F116*E116</f>
        <v>8.7856</v>
      </c>
      <c r="I116" s="20"/>
      <c r="K116" s="23" t="n">
        <f aca="false">Рынок!$D$3</f>
        <v>0.665291730423791</v>
      </c>
      <c r="L116" s="3" t="n">
        <f aca="false">K116*F116*E116</f>
        <v>11.6899740536225</v>
      </c>
    </row>
    <row r="117" customFormat="false" ht="15" hidden="false" customHeight="true" outlineLevel="1" collapsed="false">
      <c r="A117" s="60" t="s">
        <v>16</v>
      </c>
      <c r="B117" s="15" t="s">
        <v>484</v>
      </c>
      <c r="C117" s="30" t="s">
        <v>174</v>
      </c>
      <c r="D117" s="16" t="s">
        <v>157</v>
      </c>
      <c r="E117" s="35" t="n">
        <f aca="false">3.23*2.72*2</f>
        <v>17.5712</v>
      </c>
      <c r="F117" s="24" t="n">
        <v>2</v>
      </c>
      <c r="G117" s="12" t="n">
        <f aca="false">'Dups+ B&amp;B Rates'!$I$18</f>
        <v>1</v>
      </c>
      <c r="H117" s="22" t="n">
        <f aca="false">G117*F117*E117</f>
        <v>35.1424</v>
      </c>
      <c r="I117" s="20"/>
      <c r="K117" s="21" t="n">
        <f aca="false">G117</f>
        <v>1</v>
      </c>
      <c r="L117" s="3" t="n">
        <f aca="false">K117*F117*E117</f>
        <v>35.1424</v>
      </c>
    </row>
    <row r="118" customFormat="false" ht="15" hidden="false" customHeight="true" outlineLevel="1" collapsed="false">
      <c r="A118" s="60" t="s">
        <v>16</v>
      </c>
      <c r="B118" s="15" t="s">
        <v>77</v>
      </c>
      <c r="C118" s="30" t="s">
        <v>258</v>
      </c>
      <c r="D118" s="16" t="s">
        <v>424</v>
      </c>
      <c r="E118" s="35" t="n">
        <v>4</v>
      </c>
      <c r="F118" s="24" t="n">
        <v>1</v>
      </c>
      <c r="G118" s="12" t="n">
        <f aca="false">'Dups+ B&amp;B Rates'!$I$12</f>
        <v>10</v>
      </c>
      <c r="H118" s="22" t="n">
        <f aca="false">G118*F118*E118</f>
        <v>40</v>
      </c>
      <c r="I118" s="20"/>
      <c r="K118" s="21" t="n">
        <f aca="false">G118</f>
        <v>10</v>
      </c>
      <c r="L118" s="3" t="n">
        <f aca="false">K118*F118*E118</f>
        <v>40</v>
      </c>
    </row>
    <row r="119" customFormat="false" ht="15" hidden="false" customHeight="true" outlineLevel="1" collapsed="false">
      <c r="A119" s="61" t="s">
        <v>17</v>
      </c>
      <c r="B119" s="15" t="s">
        <v>463</v>
      </c>
      <c r="C119" s="15" t="s">
        <v>161</v>
      </c>
      <c r="D119" s="16" t="s">
        <v>157</v>
      </c>
      <c r="E119" s="35" t="n">
        <v>1.2</v>
      </c>
      <c r="F119" s="24" t="n">
        <v>1</v>
      </c>
      <c r="G119" s="12" t="n">
        <f aca="false">'Dups+ B&amp;B Rates'!$I$9</f>
        <v>9</v>
      </c>
      <c r="H119" s="22" t="n">
        <f aca="false">G119*F119*E119</f>
        <v>10.8</v>
      </c>
      <c r="I119" s="20"/>
      <c r="K119" s="23" t="n">
        <f aca="false">Рынок!$D$9</f>
        <v>10.6446676867807</v>
      </c>
      <c r="L119" s="3" t="n">
        <f aca="false">K119*F119*E119</f>
        <v>12.7736012241368</v>
      </c>
    </row>
    <row r="120" customFormat="false" ht="15" hidden="false" customHeight="true" outlineLevel="1" collapsed="false">
      <c r="A120" s="61" t="s">
        <v>17</v>
      </c>
      <c r="B120" s="15" t="s">
        <v>221</v>
      </c>
      <c r="C120" s="46" t="s">
        <v>261</v>
      </c>
      <c r="D120" s="16" t="s">
        <v>157</v>
      </c>
      <c r="E120" s="35" t="n">
        <f aca="false">(0.78+0.22)*2.7+0.89*0.63</f>
        <v>3.2607</v>
      </c>
      <c r="F120" s="24" t="n">
        <v>1</v>
      </c>
      <c r="G120" s="12" t="n">
        <f aca="false">'Dups+ B&amp;B Rates'!$I$9</f>
        <v>9</v>
      </c>
      <c r="H120" s="22" t="n">
        <f aca="false">G120*F120*E120</f>
        <v>29.3463</v>
      </c>
      <c r="I120" s="20"/>
      <c r="K120" s="23" t="n">
        <f aca="false">Рынок!$D$9</f>
        <v>10.6446676867807</v>
      </c>
      <c r="L120" s="3" t="n">
        <f aca="false">K120*F120*E120</f>
        <v>34.7090679262857</v>
      </c>
    </row>
    <row r="121" customFormat="false" ht="15" hidden="false" customHeight="true" outlineLevel="1" collapsed="false">
      <c r="A121" s="61" t="s">
        <v>17</v>
      </c>
      <c r="B121" s="25" t="s">
        <v>423</v>
      </c>
      <c r="C121" s="15" t="s">
        <v>163</v>
      </c>
      <c r="D121" s="16" t="s">
        <v>424</v>
      </c>
      <c r="E121" s="35" t="n">
        <f aca="false">1.18*2+2+2.7+2.7+0.63*2</f>
        <v>11.02</v>
      </c>
      <c r="F121" s="24" t="n">
        <v>1</v>
      </c>
      <c r="G121" s="12" t="n">
        <f aca="false">'Dups+ B&amp;B Rates'!$I$19</f>
        <v>2</v>
      </c>
      <c r="H121" s="22" t="n">
        <f aca="false">G121*F121*E121</f>
        <v>22.04</v>
      </c>
      <c r="I121" s="20"/>
      <c r="K121" s="21" t="n">
        <f aca="false">G121</f>
        <v>2</v>
      </c>
      <c r="L121" s="3" t="n">
        <f aca="false">K121*F121*E121</f>
        <v>22.04</v>
      </c>
    </row>
    <row r="122" customFormat="false" ht="15" hidden="false" customHeight="true" outlineLevel="1" collapsed="false">
      <c r="A122" s="61" t="s">
        <v>17</v>
      </c>
      <c r="B122" s="15" t="s">
        <v>205</v>
      </c>
      <c r="C122" s="15" t="s">
        <v>205</v>
      </c>
      <c r="D122" s="16" t="s">
        <v>424</v>
      </c>
      <c r="E122" s="35" t="n">
        <f aca="false">1.18*2+2</f>
        <v>4.36</v>
      </c>
      <c r="F122" s="24" t="n">
        <v>1</v>
      </c>
      <c r="G122" s="12" t="n">
        <f aca="false">'Dups+ B&amp;B Rates'!$I$27</f>
        <v>4</v>
      </c>
      <c r="H122" s="22" t="n">
        <f aca="false">G122*F122*E122</f>
        <v>17.44</v>
      </c>
      <c r="I122" s="20"/>
      <c r="J122" s="26" t="s">
        <v>425</v>
      </c>
      <c r="K122" s="21" t="n">
        <f aca="false">G122</f>
        <v>4</v>
      </c>
      <c r="L122" s="3" t="n">
        <f aca="false">K122*F122*E122</f>
        <v>17.44</v>
      </c>
    </row>
    <row r="123" customFormat="false" ht="15" hidden="false" customHeight="true" outlineLevel="1" collapsed="false">
      <c r="A123" s="61" t="s">
        <v>17</v>
      </c>
      <c r="B123" s="15" t="s">
        <v>207</v>
      </c>
      <c r="C123" s="15" t="s">
        <v>207</v>
      </c>
      <c r="D123" s="16" t="s">
        <v>424</v>
      </c>
      <c r="E123" s="35" t="n">
        <f aca="false">E121-E122</f>
        <v>6.66</v>
      </c>
      <c r="F123" s="24" t="n">
        <v>1</v>
      </c>
      <c r="G123" s="12" t="n">
        <f aca="false">'Dups+ B&amp;B Rates'!$I$28</f>
        <v>3</v>
      </c>
      <c r="H123" s="22" t="n">
        <f aca="false">G123*F123*E123</f>
        <v>19.98</v>
      </c>
      <c r="I123" s="20"/>
      <c r="J123" s="26" t="s">
        <v>425</v>
      </c>
      <c r="K123" s="21" t="n">
        <f aca="false">G123</f>
        <v>3</v>
      </c>
      <c r="L123" s="3" t="n">
        <f aca="false">K123*F123*E123</f>
        <v>19.98</v>
      </c>
    </row>
    <row r="124" customFormat="false" ht="15" hidden="false" customHeight="true" outlineLevel="1" collapsed="false">
      <c r="A124" s="61" t="s">
        <v>17</v>
      </c>
      <c r="B124" s="15" t="s">
        <v>475</v>
      </c>
      <c r="C124" s="30" t="s">
        <v>170</v>
      </c>
      <c r="D124" s="16" t="s">
        <v>424</v>
      </c>
      <c r="E124" s="35" t="n">
        <v>2.7</v>
      </c>
      <c r="F124" s="24" t="n">
        <v>1</v>
      </c>
      <c r="G124" s="12" t="n">
        <f aca="false">'Dups+ B&amp;B Rates'!$I$22</f>
        <v>2.5</v>
      </c>
      <c r="H124" s="22" t="n">
        <f aca="false">G124*F124*E124</f>
        <v>6.75</v>
      </c>
      <c r="I124" s="20"/>
      <c r="K124" s="21" t="n">
        <f aca="false">G124</f>
        <v>2.5</v>
      </c>
      <c r="L124" s="3" t="n">
        <f aca="false">K124*F124*E124</f>
        <v>6.75</v>
      </c>
    </row>
    <row r="125" customFormat="false" ht="15" hidden="false" customHeight="true" outlineLevel="1" collapsed="false">
      <c r="A125" s="61" t="s">
        <v>17</v>
      </c>
      <c r="B125" s="15" t="s">
        <v>430</v>
      </c>
      <c r="C125" s="15" t="s">
        <v>172</v>
      </c>
      <c r="D125" s="16" t="s">
        <v>157</v>
      </c>
      <c r="E125" s="35" t="n">
        <f aca="false">(1.18+0.78+0.22)*2.7+(0.89*0.63)</f>
        <v>6.4467</v>
      </c>
      <c r="F125" s="24" t="n">
        <v>1</v>
      </c>
      <c r="G125" s="12" t="n">
        <f aca="false">'Dups+ B&amp;B Rates'!$I$3</f>
        <v>0.5</v>
      </c>
      <c r="H125" s="22" t="n">
        <f aca="false">G125*F125*E125</f>
        <v>3.22335</v>
      </c>
      <c r="I125" s="20"/>
      <c r="J125" s="26" t="s">
        <v>513</v>
      </c>
      <c r="K125" s="23" t="n">
        <f aca="false">Рынок!$D$3</f>
        <v>0.665291730423791</v>
      </c>
      <c r="L125" s="3" t="n">
        <f aca="false">K125*F125*E125</f>
        <v>4.28893619852305</v>
      </c>
    </row>
    <row r="126" customFormat="false" ht="15" hidden="false" customHeight="true" outlineLevel="1" collapsed="false">
      <c r="A126" s="61" t="s">
        <v>17</v>
      </c>
      <c r="B126" s="15" t="s">
        <v>431</v>
      </c>
      <c r="C126" s="15" t="s">
        <v>187</v>
      </c>
      <c r="D126" s="16" t="s">
        <v>157</v>
      </c>
      <c r="E126" s="35" t="n">
        <v>1.18</v>
      </c>
      <c r="F126" s="24" t="n">
        <v>1</v>
      </c>
      <c r="G126" s="12" t="n">
        <f aca="false">'Dups+ B&amp;B Rates'!$I$3</f>
        <v>0.5</v>
      </c>
      <c r="H126" s="22" t="n">
        <f aca="false">G126*F126*E126</f>
        <v>0.59</v>
      </c>
      <c r="I126" s="20"/>
      <c r="J126" s="26" t="s">
        <v>513</v>
      </c>
      <c r="K126" s="23" t="n">
        <f aca="false">Рынок!$D$3</f>
        <v>0.665291730423791</v>
      </c>
      <c r="L126" s="3" t="n">
        <f aca="false">K126*F126*E126</f>
        <v>0.785044241900073</v>
      </c>
    </row>
    <row r="127" customFormat="false" ht="15" hidden="false" customHeight="true" outlineLevel="1" collapsed="false">
      <c r="A127" s="61" t="s">
        <v>17</v>
      </c>
      <c r="B127" s="15" t="s">
        <v>174</v>
      </c>
      <c r="C127" s="15" t="s">
        <v>174</v>
      </c>
      <c r="D127" s="16" t="s">
        <v>157</v>
      </c>
      <c r="E127" s="35" t="n">
        <f aca="false">(1.18+0.78+0.22)*2.7+0.89*0.63+2.05*0.2</f>
        <v>6.8567</v>
      </c>
      <c r="F127" s="24" t="n">
        <v>2</v>
      </c>
      <c r="G127" s="12" t="n">
        <f aca="false">'Dups+ B&amp;B Rates'!$I$18</f>
        <v>1</v>
      </c>
      <c r="H127" s="22" t="n">
        <f aca="false">G127*F127*E127</f>
        <v>13.7134</v>
      </c>
      <c r="I127" s="20"/>
      <c r="K127" s="21" t="n">
        <f aca="false">G127</f>
        <v>1</v>
      </c>
      <c r="L127" s="3" t="n">
        <f aca="false">K127*F127*E127</f>
        <v>13.7134</v>
      </c>
    </row>
    <row r="128" customFormat="false" ht="15" hidden="false" customHeight="true" outlineLevel="1" collapsed="false">
      <c r="A128" s="61" t="s">
        <v>17</v>
      </c>
      <c r="B128" s="15" t="s">
        <v>175</v>
      </c>
      <c r="C128" s="30" t="s">
        <v>175</v>
      </c>
      <c r="D128" s="16" t="s">
        <v>157</v>
      </c>
      <c r="E128" s="35" t="n">
        <v>1.18</v>
      </c>
      <c r="F128" s="24" t="n">
        <v>2</v>
      </c>
      <c r="G128" s="12" t="n">
        <f aca="false">'Dups+ B&amp;B Rates'!$I$17</f>
        <v>1.5</v>
      </c>
      <c r="H128" s="22" t="n">
        <f aca="false">G128*F128*E128</f>
        <v>3.54</v>
      </c>
      <c r="I128" s="20"/>
      <c r="K128" s="21" t="n">
        <f aca="false">G128</f>
        <v>1.5</v>
      </c>
      <c r="L128" s="3" t="n">
        <f aca="false">K128*F128*E128</f>
        <v>3.54</v>
      </c>
    </row>
    <row r="129" customFormat="false" ht="15" hidden="false" customHeight="true" outlineLevel="0" collapsed="false">
      <c r="A129" s="62" t="s">
        <v>18</v>
      </c>
      <c r="B129" s="15" t="s">
        <v>514</v>
      </c>
      <c r="C129" s="30" t="s">
        <v>515</v>
      </c>
      <c r="D129" s="16" t="s">
        <v>157</v>
      </c>
      <c r="E129" s="35" t="n">
        <v>1</v>
      </c>
      <c r="F129" s="24" t="n">
        <v>1</v>
      </c>
      <c r="G129" s="27"/>
      <c r="H129" s="28"/>
      <c r="I129" s="20"/>
      <c r="J129" s="1" t="s">
        <v>516</v>
      </c>
    </row>
    <row r="130" customFormat="false" ht="15" hidden="false" customHeight="true" outlineLevel="0" collapsed="false">
      <c r="A130" s="42" t="s">
        <v>19</v>
      </c>
      <c r="B130" s="15" t="s">
        <v>517</v>
      </c>
      <c r="C130" s="30" t="s">
        <v>267</v>
      </c>
      <c r="D130" s="16" t="s">
        <v>424</v>
      </c>
      <c r="E130" s="35" t="n">
        <f aca="false">6*2.7</f>
        <v>16.2</v>
      </c>
      <c r="F130" s="24" t="n">
        <v>1</v>
      </c>
      <c r="G130" s="12" t="n">
        <f aca="false">'Dups+ B&amp;B Rates'!$I$19</f>
        <v>2</v>
      </c>
      <c r="H130" s="22" t="n">
        <f aca="false">G130*F130*E130</f>
        <v>32.4</v>
      </c>
      <c r="I130" s="20"/>
      <c r="K130" s="21" t="n">
        <f aca="false">G130</f>
        <v>2</v>
      </c>
      <c r="L130" s="3" t="n">
        <f aca="false">K130*F130*E130</f>
        <v>32.4</v>
      </c>
    </row>
    <row r="131" customFormat="false" ht="15" hidden="false" customHeight="true" outlineLevel="0" collapsed="false">
      <c r="A131" s="42" t="s">
        <v>19</v>
      </c>
      <c r="B131" s="15" t="s">
        <v>518</v>
      </c>
      <c r="C131" s="30" t="s">
        <v>269</v>
      </c>
      <c r="D131" s="16" t="s">
        <v>424</v>
      </c>
      <c r="E131" s="35" t="n">
        <f aca="false">2.7*2+1.59+2.57*2</f>
        <v>12.13</v>
      </c>
      <c r="F131" s="24" t="n">
        <v>1</v>
      </c>
      <c r="G131" s="12" t="n">
        <f aca="false">'Dups+ B&amp;B Rates'!$I$22</f>
        <v>2.5</v>
      </c>
      <c r="H131" s="22" t="n">
        <f aca="false">G131*F131*E131</f>
        <v>30.325</v>
      </c>
      <c r="I131" s="20"/>
      <c r="K131" s="21" t="n">
        <f aca="false">G131</f>
        <v>2.5</v>
      </c>
      <c r="L131" s="3" t="n">
        <f aca="false">K131*F131*E131</f>
        <v>30.325</v>
      </c>
    </row>
    <row r="132" customFormat="false" ht="15" hidden="false" customHeight="true" outlineLevel="1" collapsed="false">
      <c r="A132" s="42" t="s">
        <v>19</v>
      </c>
      <c r="B132" s="15" t="s">
        <v>519</v>
      </c>
      <c r="C132" s="63" t="s">
        <v>271</v>
      </c>
      <c r="D132" s="16" t="s">
        <v>424</v>
      </c>
      <c r="E132" s="35" t="n">
        <f aca="false">2.7*8</f>
        <v>21.6</v>
      </c>
      <c r="F132" s="24" t="n">
        <v>1</v>
      </c>
      <c r="G132" s="12" t="n">
        <f aca="false">'Dups+ B&amp;B Rates'!$I$28</f>
        <v>3</v>
      </c>
      <c r="H132" s="22" t="n">
        <f aca="false">G132*F132*E132</f>
        <v>64.8</v>
      </c>
      <c r="I132" s="20"/>
      <c r="J132" s="26" t="s">
        <v>425</v>
      </c>
      <c r="K132" s="21" t="n">
        <f aca="false">G132</f>
        <v>3</v>
      </c>
      <c r="L132" s="3" t="n">
        <f aca="false">K132*F132*E132</f>
        <v>64.8</v>
      </c>
    </row>
    <row r="133" customFormat="false" ht="15" hidden="false" customHeight="true" outlineLevel="1" collapsed="false">
      <c r="A133" s="42" t="s">
        <v>19</v>
      </c>
      <c r="B133" s="15" t="s">
        <v>520</v>
      </c>
      <c r="C133" s="15" t="s">
        <v>460</v>
      </c>
      <c r="D133" s="16" t="s">
        <v>424</v>
      </c>
      <c r="E133" s="35" t="n">
        <f aca="false">1.96*2+1.71</f>
        <v>5.63</v>
      </c>
      <c r="F133" s="24" t="n">
        <v>1</v>
      </c>
      <c r="G133" s="12" t="n">
        <f aca="false">'Dups+ B&amp;B Rates'!$I$12</f>
        <v>10</v>
      </c>
      <c r="H133" s="22" t="n">
        <f aca="false">G133*F133*E133</f>
        <v>56.3</v>
      </c>
      <c r="I133" s="20"/>
      <c r="K133" s="21" t="n">
        <f aca="false">G133</f>
        <v>10</v>
      </c>
      <c r="L133" s="3" t="n">
        <f aca="false">K133*F133*E133</f>
        <v>56.3</v>
      </c>
    </row>
    <row r="134" customFormat="false" ht="15" hidden="false" customHeight="true" outlineLevel="1" collapsed="false">
      <c r="A134" s="42" t="s">
        <v>19</v>
      </c>
      <c r="B134" s="15" t="s">
        <v>521</v>
      </c>
      <c r="C134" s="15" t="s">
        <v>172</v>
      </c>
      <c r="D134" s="16" t="s">
        <v>157</v>
      </c>
      <c r="E134" s="35" t="n">
        <f aca="false">E133*0.3</f>
        <v>1.689</v>
      </c>
      <c r="F134" s="24" t="n">
        <v>1</v>
      </c>
      <c r="G134" s="12" t="n">
        <f aca="false">'Dups+ B&amp;B Rates'!$I$3</f>
        <v>0.5</v>
      </c>
      <c r="H134" s="22" t="n">
        <f aca="false">G134*F134*E134</f>
        <v>0.8445</v>
      </c>
      <c r="I134" s="20"/>
      <c r="K134" s="23" t="n">
        <f aca="false">Рынок!$D$3</f>
        <v>0.665291730423791</v>
      </c>
      <c r="L134" s="3" t="n">
        <f aca="false">K134*F134*E134</f>
        <v>1.12367773268578</v>
      </c>
    </row>
    <row r="135" customFormat="false" ht="15" hidden="false" customHeight="true" outlineLevel="1" collapsed="false">
      <c r="A135" s="42" t="s">
        <v>19</v>
      </c>
      <c r="B135" s="15" t="s">
        <v>522</v>
      </c>
      <c r="C135" s="15" t="s">
        <v>174</v>
      </c>
      <c r="D135" s="16" t="s">
        <v>157</v>
      </c>
      <c r="E135" s="35" t="n">
        <f aca="false">E134</f>
        <v>1.689</v>
      </c>
      <c r="F135" s="24" t="n">
        <v>2</v>
      </c>
      <c r="G135" s="12" t="n">
        <f aca="false">'Dups+ B&amp;B Rates'!$I$18</f>
        <v>1</v>
      </c>
      <c r="H135" s="22" t="n">
        <f aca="false">G135*F135*E135</f>
        <v>3.378</v>
      </c>
      <c r="I135" s="20"/>
      <c r="K135" s="21" t="n">
        <f aca="false">G135</f>
        <v>1</v>
      </c>
      <c r="L135" s="3" t="n">
        <f aca="false">K135*F135*E135</f>
        <v>3.378</v>
      </c>
    </row>
    <row r="136" customFormat="false" ht="15" hidden="false" customHeight="true" outlineLevel="1" collapsed="false">
      <c r="A136" s="42" t="s">
        <v>19</v>
      </c>
      <c r="B136" s="15" t="s">
        <v>523</v>
      </c>
      <c r="C136" s="15" t="s">
        <v>172</v>
      </c>
      <c r="D136" s="16" t="s">
        <v>157</v>
      </c>
      <c r="E136" s="35" t="n">
        <f aca="false">(6.95+1.05+0.6+0.8+3.23)*2.7-(2.1*0.87)</f>
        <v>32.274</v>
      </c>
      <c r="F136" s="24" t="n">
        <v>1</v>
      </c>
      <c r="G136" s="12" t="n">
        <f aca="false">'Dups+ B&amp;B Rates'!$I$3</f>
        <v>0.5</v>
      </c>
      <c r="H136" s="22" t="n">
        <f aca="false">G136*F136*E136</f>
        <v>16.137</v>
      </c>
      <c r="I136" s="20"/>
      <c r="K136" s="23" t="n">
        <f aca="false">Рынок!$D$3</f>
        <v>0.665291730423791</v>
      </c>
      <c r="L136" s="3" t="n">
        <f aca="false">K136*F136*E136</f>
        <v>21.4716253076974</v>
      </c>
    </row>
    <row r="137" customFormat="false" ht="15" hidden="false" customHeight="true" outlineLevel="1" collapsed="false">
      <c r="A137" s="42" t="s">
        <v>19</v>
      </c>
      <c r="B137" s="15" t="s">
        <v>524</v>
      </c>
      <c r="C137" s="30" t="s">
        <v>168</v>
      </c>
      <c r="D137" s="16" t="s">
        <v>157</v>
      </c>
      <c r="E137" s="35" t="n">
        <f aca="false">2.48*2.75</f>
        <v>6.82</v>
      </c>
      <c r="F137" s="18" t="n">
        <v>1</v>
      </c>
      <c r="G137" s="12" t="n">
        <f aca="false">'Dups+ B&amp;B Rates'!$I$28</f>
        <v>3</v>
      </c>
      <c r="H137" s="22" t="n">
        <f aca="false">G137*F137*E137</f>
        <v>20.46</v>
      </c>
      <c r="I137" s="20"/>
      <c r="K137" s="21" t="n">
        <f aca="false">G137</f>
        <v>3</v>
      </c>
      <c r="L137" s="3" t="n">
        <f aca="false">K137*F137*E137</f>
        <v>20.46</v>
      </c>
    </row>
    <row r="138" customFormat="false" ht="15" hidden="false" customHeight="true" outlineLevel="1" collapsed="false">
      <c r="A138" s="42" t="s">
        <v>19</v>
      </c>
      <c r="B138" s="15" t="s">
        <v>525</v>
      </c>
      <c r="C138" s="30" t="s">
        <v>276</v>
      </c>
      <c r="D138" s="16" t="s">
        <v>157</v>
      </c>
      <c r="E138" s="35" t="n">
        <f aca="false">2.48*2.75</f>
        <v>6.82</v>
      </c>
      <c r="F138" s="24" t="n">
        <v>1</v>
      </c>
      <c r="G138" s="12" t="n">
        <f aca="false">'Dups+ B&amp;B Rates'!$I$28</f>
        <v>3</v>
      </c>
      <c r="H138" s="22" t="n">
        <f aca="false">G138*F138*E138</f>
        <v>20.46</v>
      </c>
      <c r="I138" s="20"/>
      <c r="K138" s="21" t="n">
        <f aca="false">G138</f>
        <v>3</v>
      </c>
      <c r="L138" s="3" t="n">
        <f aca="false">K138*F138*E138</f>
        <v>20.46</v>
      </c>
    </row>
    <row r="139" customFormat="false" ht="15" hidden="false" customHeight="true" outlineLevel="1" collapsed="false">
      <c r="A139" s="42" t="s">
        <v>19</v>
      </c>
      <c r="B139" s="15" t="s">
        <v>525</v>
      </c>
      <c r="C139" s="15" t="s">
        <v>172</v>
      </c>
      <c r="D139" s="16" t="s">
        <v>157</v>
      </c>
      <c r="E139" s="35" t="n">
        <f aca="false">2.48*2.75</f>
        <v>6.82</v>
      </c>
      <c r="F139" s="24" t="n">
        <v>1</v>
      </c>
      <c r="G139" s="12" t="n">
        <f aca="false">'Dups+ B&amp;B Rates'!$I$3</f>
        <v>0.5</v>
      </c>
      <c r="H139" s="22" t="n">
        <f aca="false">G139*F139*E139</f>
        <v>3.41</v>
      </c>
      <c r="I139" s="20"/>
      <c r="K139" s="23" t="n">
        <f aca="false">Рынок!$D$3</f>
        <v>0.665291730423791</v>
      </c>
      <c r="L139" s="3" t="n">
        <f aca="false">K139*F139*E139</f>
        <v>4.53728960149025</v>
      </c>
    </row>
    <row r="140" customFormat="false" ht="15" hidden="false" customHeight="true" outlineLevel="1" collapsed="false">
      <c r="A140" s="42" t="s">
        <v>19</v>
      </c>
      <c r="B140" s="15" t="s">
        <v>526</v>
      </c>
      <c r="C140" s="30" t="s">
        <v>504</v>
      </c>
      <c r="D140" s="16" t="s">
        <v>157</v>
      </c>
      <c r="E140" s="35" t="n">
        <f aca="false">2.14*2.75-1.96*1.71</f>
        <v>2.5334</v>
      </c>
      <c r="F140" s="18" t="n">
        <v>1</v>
      </c>
      <c r="G140" s="12" t="n">
        <f aca="false">'Dups+ B&amp;B Rates'!$I$7</f>
        <v>4</v>
      </c>
      <c r="H140" s="22" t="n">
        <f aca="false">G140*F140*E140</f>
        <v>10.1336</v>
      </c>
      <c r="I140" s="20"/>
      <c r="K140" s="21" t="n">
        <f aca="false">G140</f>
        <v>4</v>
      </c>
      <c r="L140" s="3" t="n">
        <f aca="false">K140*F140*E140</f>
        <v>10.1336</v>
      </c>
    </row>
    <row r="141" customFormat="false" ht="15" hidden="false" customHeight="true" outlineLevel="1" collapsed="false">
      <c r="A141" s="42" t="s">
        <v>19</v>
      </c>
      <c r="B141" s="15" t="s">
        <v>527</v>
      </c>
      <c r="C141" s="30" t="s">
        <v>504</v>
      </c>
      <c r="D141" s="16" t="s">
        <v>157</v>
      </c>
      <c r="E141" s="35" t="n">
        <f aca="false">2.14*2.75-1.96*1.71</f>
        <v>2.5334</v>
      </c>
      <c r="F141" s="24" t="n">
        <v>1</v>
      </c>
      <c r="G141" s="12" t="n">
        <f aca="false">'Dups+ B&amp;B Rates'!$I$3</f>
        <v>0.5</v>
      </c>
      <c r="H141" s="22" t="n">
        <f aca="false">G141*F141*E141</f>
        <v>1.2667</v>
      </c>
      <c r="I141" s="20"/>
      <c r="J141" s="26" t="s">
        <v>528</v>
      </c>
      <c r="K141" s="23" t="n">
        <f aca="false">Рынок!$D$3</f>
        <v>0.665291730423791</v>
      </c>
      <c r="L141" s="3" t="n">
        <f aca="false">K141*F141*E141</f>
        <v>1.68545006985563</v>
      </c>
    </row>
    <row r="142" customFormat="false" ht="15" hidden="false" customHeight="true" outlineLevel="1" collapsed="false">
      <c r="A142" s="42" t="s">
        <v>19</v>
      </c>
      <c r="B142" s="25" t="s">
        <v>423</v>
      </c>
      <c r="C142" s="15" t="s">
        <v>163</v>
      </c>
      <c r="D142" s="16" t="s">
        <v>424</v>
      </c>
      <c r="E142" s="35" t="n">
        <f aca="false">2.7*2+0.8</f>
        <v>6.2</v>
      </c>
      <c r="F142" s="24" t="n">
        <v>1</v>
      </c>
      <c r="G142" s="12" t="n">
        <f aca="false">'Dups+ B&amp;B Rates'!$I$19</f>
        <v>2</v>
      </c>
      <c r="H142" s="22" t="n">
        <f aca="false">G142*F142*E142</f>
        <v>12.4</v>
      </c>
      <c r="I142" s="20"/>
      <c r="K142" s="21" t="n">
        <f aca="false">G142</f>
        <v>2</v>
      </c>
      <c r="L142" s="3" t="n">
        <f aca="false">K142*F142*E142</f>
        <v>12.4</v>
      </c>
    </row>
    <row r="143" customFormat="false" ht="15" hidden="false" customHeight="true" outlineLevel="1" collapsed="false">
      <c r="A143" s="42" t="s">
        <v>19</v>
      </c>
      <c r="B143" s="15" t="s">
        <v>529</v>
      </c>
      <c r="C143" s="30" t="s">
        <v>174</v>
      </c>
      <c r="D143" s="16" t="s">
        <v>157</v>
      </c>
      <c r="E143" s="35" t="n">
        <f aca="false">E136+E137+E140</f>
        <v>41.6274</v>
      </c>
      <c r="F143" s="24" t="n">
        <v>1</v>
      </c>
      <c r="G143" s="12" t="n">
        <f aca="false">'Dups+ B&amp;B Rates'!$I$18</f>
        <v>1</v>
      </c>
      <c r="H143" s="22" t="n">
        <f aca="false">G143*F143*E143</f>
        <v>41.6274</v>
      </c>
      <c r="I143" s="20"/>
      <c r="K143" s="21" t="n">
        <f aca="false">G143</f>
        <v>1</v>
      </c>
      <c r="L143" s="3" t="n">
        <f aca="false">K143*F143*E143</f>
        <v>41.6274</v>
      </c>
    </row>
    <row r="144" customFormat="false" ht="15" hidden="false" customHeight="true" outlineLevel="0" collapsed="false">
      <c r="A144" s="15" t="s">
        <v>20</v>
      </c>
      <c r="B144" s="15" t="s">
        <v>221</v>
      </c>
      <c r="C144" s="15" t="s">
        <v>238</v>
      </c>
      <c r="D144" s="16" t="s">
        <v>157</v>
      </c>
      <c r="E144" s="64" t="n">
        <f aca="false">2.75*5.5+3.8*2.65/2+2.76*2.1-2.05*0.09</f>
        <v>25.7715</v>
      </c>
      <c r="F144" s="24" t="n">
        <v>1</v>
      </c>
      <c r="G144" s="12" t="n">
        <f aca="false">'Dups+ B&amp;B Rates'!$I$7</f>
        <v>4</v>
      </c>
      <c r="H144" s="22" t="n">
        <f aca="false">G144*F144*E144</f>
        <v>103.086</v>
      </c>
      <c r="I144" s="20"/>
      <c r="K144" s="21" t="n">
        <f aca="false">G144</f>
        <v>4</v>
      </c>
      <c r="L144" s="3" t="n">
        <f aca="false">K144*F144*E144</f>
        <v>103.086</v>
      </c>
    </row>
    <row r="145" customFormat="false" ht="15" hidden="false" customHeight="true" outlineLevel="0" collapsed="false">
      <c r="A145" s="15" t="s">
        <v>20</v>
      </c>
      <c r="B145" s="15" t="s">
        <v>423</v>
      </c>
      <c r="C145" s="15" t="s">
        <v>163</v>
      </c>
      <c r="D145" s="16" t="s">
        <v>424</v>
      </c>
      <c r="E145" s="64" t="n">
        <f aca="false">7*2.75+3.8</f>
        <v>23.05</v>
      </c>
      <c r="F145" s="24" t="n">
        <v>1</v>
      </c>
      <c r="G145" s="12" t="n">
        <f aca="false">'Dups+ B&amp;B Rates'!$I$19</f>
        <v>2</v>
      </c>
      <c r="H145" s="22" t="n">
        <f aca="false">G145*F145*E145</f>
        <v>46.1</v>
      </c>
      <c r="I145" s="20"/>
      <c r="K145" s="21" t="n">
        <f aca="false">G145</f>
        <v>2</v>
      </c>
      <c r="L145" s="3" t="n">
        <f aca="false">K145*F145*E145</f>
        <v>46.1</v>
      </c>
    </row>
    <row r="146" customFormat="false" ht="15" hidden="false" customHeight="true" outlineLevel="0" collapsed="false">
      <c r="A146" s="15" t="s">
        <v>20</v>
      </c>
      <c r="B146" s="15" t="s">
        <v>530</v>
      </c>
      <c r="C146" s="15" t="s">
        <v>215</v>
      </c>
      <c r="D146" s="16"/>
      <c r="E146" s="35" t="n">
        <f aca="false">E145</f>
        <v>23.05</v>
      </c>
      <c r="F146" s="24" t="n">
        <v>1</v>
      </c>
      <c r="G146" s="12" t="n">
        <f aca="false">'Dups+ B&amp;B Rates'!$I$28</f>
        <v>3</v>
      </c>
      <c r="H146" s="22" t="n">
        <f aca="false">G146*F146*E146</f>
        <v>69.15</v>
      </c>
      <c r="I146" s="20"/>
      <c r="J146" s="26" t="s">
        <v>531</v>
      </c>
      <c r="K146" s="21" t="n">
        <f aca="false">G146</f>
        <v>3</v>
      </c>
      <c r="L146" s="3" t="n">
        <f aca="false">K146*F146*E146</f>
        <v>69.15</v>
      </c>
    </row>
    <row r="147" customFormat="false" ht="15" hidden="false" customHeight="true" outlineLevel="0" collapsed="false">
      <c r="A147" s="15" t="s">
        <v>20</v>
      </c>
      <c r="B147" s="15" t="s">
        <v>532</v>
      </c>
      <c r="C147" s="15" t="s">
        <v>172</v>
      </c>
      <c r="D147" s="16" t="s">
        <v>157</v>
      </c>
      <c r="E147" s="35" t="n">
        <f aca="false">E144</f>
        <v>25.7715</v>
      </c>
      <c r="F147" s="24" t="n">
        <v>1</v>
      </c>
      <c r="G147" s="12" t="n">
        <f aca="false">'Dups+ B&amp;B Rates'!$I$3</f>
        <v>0.5</v>
      </c>
      <c r="H147" s="22" t="n">
        <f aca="false">G147*F147*E147</f>
        <v>12.88575</v>
      </c>
      <c r="I147" s="20"/>
      <c r="K147" s="23" t="n">
        <f aca="false">Рынок!$D$3</f>
        <v>0.665291730423791</v>
      </c>
      <c r="L147" s="3" t="n">
        <f aca="false">K147*F147*E147</f>
        <v>17.1455658306167</v>
      </c>
    </row>
    <row r="148" customFormat="false" ht="15" hidden="false" customHeight="true" outlineLevel="0" collapsed="false">
      <c r="A148" s="15" t="s">
        <v>20</v>
      </c>
      <c r="B148" s="15" t="s">
        <v>533</v>
      </c>
      <c r="C148" s="15" t="s">
        <v>174</v>
      </c>
      <c r="D148" s="16" t="s">
        <v>157</v>
      </c>
      <c r="E148" s="35" t="n">
        <f aca="false">E147</f>
        <v>25.7715</v>
      </c>
      <c r="F148" s="65" t="n">
        <v>1</v>
      </c>
      <c r="G148" s="12" t="n">
        <f aca="false">'Dups+ B&amp;B Rates'!$I$18</f>
        <v>1</v>
      </c>
      <c r="H148" s="22" t="n">
        <f aca="false">G148*F148*E148</f>
        <v>25.7715</v>
      </c>
      <c r="I148" s="20"/>
      <c r="K148" s="21" t="n">
        <f aca="false">G148</f>
        <v>1</v>
      </c>
      <c r="L148" s="3" t="n">
        <f aca="false">K148*F148*E148</f>
        <v>25.7715</v>
      </c>
    </row>
    <row r="149" customFormat="false" ht="15" hidden="false" customHeight="true" outlineLevel="0" collapsed="false">
      <c r="A149" s="15" t="s">
        <v>20</v>
      </c>
      <c r="B149" s="15" t="s">
        <v>534</v>
      </c>
      <c r="C149" s="30" t="s">
        <v>287</v>
      </c>
      <c r="D149" s="16" t="s">
        <v>157</v>
      </c>
      <c r="E149" s="35" t="n">
        <f aca="false">E144</f>
        <v>25.7715</v>
      </c>
      <c r="F149" s="24" t="n">
        <v>1</v>
      </c>
      <c r="G149" s="12" t="n">
        <f aca="false">'Dups+ B&amp;B Rates'!$I$16</f>
        <v>2</v>
      </c>
      <c r="H149" s="22" t="n">
        <f aca="false">G149*F149*E149</f>
        <v>51.543</v>
      </c>
      <c r="I149" s="20"/>
      <c r="K149" s="23" t="n">
        <f aca="false">Рынок!$D$11</f>
        <v>4.32439624775464</v>
      </c>
      <c r="L149" s="3" t="n">
        <f aca="false">K149*F149*E149</f>
        <v>111.446177899009</v>
      </c>
    </row>
    <row r="150" customFormat="false" ht="15" hidden="false" customHeight="true" outlineLevel="0" collapsed="false">
      <c r="A150" s="15" t="s">
        <v>20</v>
      </c>
      <c r="B150" s="15" t="s">
        <v>535</v>
      </c>
      <c r="C150" s="30" t="s">
        <v>287</v>
      </c>
      <c r="D150" s="16" t="s">
        <v>424</v>
      </c>
      <c r="E150" s="35" t="n">
        <f aca="false">3.44*0.1</f>
        <v>0.344</v>
      </c>
      <c r="F150" s="24" t="n">
        <v>1</v>
      </c>
      <c r="G150" s="12" t="n">
        <f aca="false">'Dups+ B&amp;B Rates'!$I$16</f>
        <v>2</v>
      </c>
      <c r="H150" s="22" t="n">
        <f aca="false">G150*F150*E150</f>
        <v>0.688</v>
      </c>
      <c r="I150" s="20"/>
      <c r="J150" s="26" t="s">
        <v>425</v>
      </c>
      <c r="K150" s="23" t="n">
        <f aca="false">Рынок!$D$11</f>
        <v>4.32439624775464</v>
      </c>
      <c r="L150" s="3" t="n">
        <f aca="false">K150*F150*E150</f>
        <v>1.4875923092276</v>
      </c>
    </row>
    <row r="151" customFormat="false" ht="15" hidden="false" customHeight="true" outlineLevel="0" collapsed="false">
      <c r="A151" s="15" t="s">
        <v>20</v>
      </c>
      <c r="B151" s="15" t="s">
        <v>536</v>
      </c>
      <c r="C151" s="30" t="s">
        <v>231</v>
      </c>
      <c r="D151" s="16" t="s">
        <v>157</v>
      </c>
      <c r="E151" s="35" t="n">
        <f aca="false">E149</f>
        <v>25.7715</v>
      </c>
      <c r="F151" s="24" t="n">
        <v>1</v>
      </c>
      <c r="G151" s="12" t="n">
        <f aca="false">'Dups+ B&amp;B Rates'!$I$28</f>
        <v>3</v>
      </c>
      <c r="H151" s="22" t="n">
        <f aca="false">G151*F151*E151</f>
        <v>77.3145</v>
      </c>
      <c r="I151" s="20"/>
      <c r="K151" s="21" t="n">
        <f aca="false">G151</f>
        <v>3</v>
      </c>
      <c r="L151" s="3" t="n">
        <f aca="false">K151*F151*E151</f>
        <v>77.3145</v>
      </c>
    </row>
    <row r="152" customFormat="false" ht="15" hidden="false" customHeight="true" outlineLevel="0" collapsed="false">
      <c r="A152" s="15" t="s">
        <v>20</v>
      </c>
      <c r="B152" s="15" t="s">
        <v>537</v>
      </c>
      <c r="C152" s="30" t="s">
        <v>291</v>
      </c>
      <c r="D152" s="16" t="s">
        <v>157</v>
      </c>
      <c r="E152" s="35" t="n">
        <f aca="false">0.96*0.15+0.96*0.39</f>
        <v>0.5184</v>
      </c>
      <c r="F152" s="24" t="n">
        <v>1</v>
      </c>
      <c r="G152" s="12" t="n">
        <f aca="false">'Dups+ B&amp;B Rates'!$I$28</f>
        <v>3</v>
      </c>
      <c r="H152" s="22" t="n">
        <f aca="false">G152*F152*E152</f>
        <v>1.5552</v>
      </c>
      <c r="I152" s="20"/>
      <c r="K152" s="21" t="n">
        <f aca="false">G152</f>
        <v>3</v>
      </c>
      <c r="L152" s="3" t="n">
        <f aca="false">K152*F152*E152</f>
        <v>1.5552</v>
      </c>
    </row>
    <row r="153" customFormat="false" ht="15" hidden="false" customHeight="true" outlineLevel="0" collapsed="false">
      <c r="A153" s="15" t="s">
        <v>20</v>
      </c>
      <c r="B153" s="15" t="s">
        <v>538</v>
      </c>
      <c r="C153" s="30" t="s">
        <v>287</v>
      </c>
      <c r="D153" s="16" t="s">
        <v>157</v>
      </c>
      <c r="E153" s="35" t="n">
        <f aca="false">(0.15+0.39)*0.96</f>
        <v>0.5184</v>
      </c>
      <c r="F153" s="24" t="n">
        <v>1</v>
      </c>
      <c r="G153" s="12" t="n">
        <f aca="false">'Dups+ B&amp;B Rates'!$I$16</f>
        <v>2</v>
      </c>
      <c r="H153" s="22" t="n">
        <f aca="false">G153*F153*E153</f>
        <v>1.0368</v>
      </c>
      <c r="I153" s="20"/>
      <c r="K153" s="23" t="n">
        <f aca="false">Рынок!$D$11</f>
        <v>4.32439624775464</v>
      </c>
      <c r="L153" s="3" t="n">
        <f aca="false">K153*F153*E153</f>
        <v>2.24176701483601</v>
      </c>
    </row>
    <row r="154" customFormat="false" ht="15" hidden="false" customHeight="true" outlineLevel="0" collapsed="false">
      <c r="A154" s="15" t="s">
        <v>20</v>
      </c>
      <c r="B154" s="15" t="s">
        <v>539</v>
      </c>
      <c r="C154" s="30" t="s">
        <v>269</v>
      </c>
      <c r="D154" s="16" t="s">
        <v>424</v>
      </c>
      <c r="E154" s="35" t="n">
        <v>1</v>
      </c>
      <c r="F154" s="24" t="n">
        <v>1</v>
      </c>
      <c r="G154" s="12" t="n">
        <f aca="false">'Dups+ B&amp;B Rates'!$I$22</f>
        <v>2.5</v>
      </c>
      <c r="H154" s="22" t="n">
        <f aca="false">G154*F154*E154</f>
        <v>2.5</v>
      </c>
      <c r="I154" s="20"/>
      <c r="K154" s="21" t="n">
        <f aca="false">G154</f>
        <v>2.5</v>
      </c>
      <c r="L154" s="3" t="n">
        <f aca="false">K154*F154*E154</f>
        <v>2.5</v>
      </c>
    </row>
    <row r="155" customFormat="false" ht="15" hidden="false" customHeight="true" outlineLevel="0" collapsed="false">
      <c r="A155" s="15" t="s">
        <v>20</v>
      </c>
      <c r="B155" s="15" t="s">
        <v>540</v>
      </c>
      <c r="C155" s="30" t="s">
        <v>267</v>
      </c>
      <c r="D155" s="16" t="s">
        <v>424</v>
      </c>
      <c r="E155" s="35" t="n">
        <f aca="false">(0.15+0.39)*2</f>
        <v>1.08</v>
      </c>
      <c r="F155" s="24" t="n">
        <v>1</v>
      </c>
      <c r="G155" s="12" t="n">
        <f aca="false">'Dups+ B&amp;B Rates'!$I$19</f>
        <v>2</v>
      </c>
      <c r="H155" s="22" t="n">
        <f aca="false">G155*F155*E155</f>
        <v>2.16</v>
      </c>
      <c r="I155" s="20"/>
      <c r="K155" s="21" t="n">
        <f aca="false">G155</f>
        <v>2</v>
      </c>
      <c r="L155" s="3" t="n">
        <f aca="false">K155*F155*E155</f>
        <v>2.16</v>
      </c>
    </row>
    <row r="156" customFormat="false" ht="15" hidden="false" customHeight="true" outlineLevel="0" collapsed="false">
      <c r="A156" s="15" t="s">
        <v>20</v>
      </c>
      <c r="B156" s="15" t="s">
        <v>541</v>
      </c>
      <c r="C156" s="15" t="s">
        <v>172</v>
      </c>
      <c r="D156" s="16" t="s">
        <v>157</v>
      </c>
      <c r="E156" s="35" t="n">
        <f aca="false">E153</f>
        <v>0.5184</v>
      </c>
      <c r="F156" s="24" t="n">
        <v>1</v>
      </c>
      <c r="G156" s="12" t="n">
        <f aca="false">'Dups+ B&amp;B Rates'!$I$3</f>
        <v>0.5</v>
      </c>
      <c r="H156" s="22" t="n">
        <f aca="false">G156*F156*E156</f>
        <v>0.2592</v>
      </c>
      <c r="I156" s="20"/>
      <c r="K156" s="23" t="n">
        <f aca="false">Рынок!$D$3</f>
        <v>0.665291730423791</v>
      </c>
      <c r="L156" s="3" t="n">
        <f aca="false">K156*F156*E156</f>
        <v>0.344887233051693</v>
      </c>
    </row>
    <row r="157" customFormat="false" ht="15" hidden="false" customHeight="true" outlineLevel="0" collapsed="false">
      <c r="A157" s="15" t="s">
        <v>20</v>
      </c>
      <c r="B157" s="15" t="s">
        <v>542</v>
      </c>
      <c r="C157" s="15" t="s">
        <v>174</v>
      </c>
      <c r="D157" s="16" t="s">
        <v>157</v>
      </c>
      <c r="E157" s="35" t="n">
        <f aca="false">E156</f>
        <v>0.5184</v>
      </c>
      <c r="F157" s="65" t="n">
        <v>1</v>
      </c>
      <c r="G157" s="12" t="n">
        <f aca="false">'Dups+ B&amp;B Rates'!$I$18</f>
        <v>1</v>
      </c>
      <c r="H157" s="22" t="n">
        <f aca="false">G157*F157*E157</f>
        <v>0.5184</v>
      </c>
      <c r="I157" s="20"/>
      <c r="K157" s="21" t="n">
        <f aca="false">G157</f>
        <v>1</v>
      </c>
      <c r="L157" s="3" t="n">
        <f aca="false">K157*F157*E157</f>
        <v>0.5184</v>
      </c>
    </row>
    <row r="158" customFormat="false" ht="15" hidden="false" customHeight="true" outlineLevel="0" collapsed="false">
      <c r="A158" s="15" t="s">
        <v>20</v>
      </c>
      <c r="B158" s="15" t="s">
        <v>543</v>
      </c>
      <c r="C158" s="15" t="s">
        <v>172</v>
      </c>
      <c r="D158" s="16" t="s">
        <v>157</v>
      </c>
      <c r="E158" s="35" t="n">
        <f aca="false">E149</f>
        <v>25.7715</v>
      </c>
      <c r="F158" s="24" t="n">
        <v>1</v>
      </c>
      <c r="G158" s="12" t="n">
        <f aca="false">'Dups+ B&amp;B Rates'!$I$3</f>
        <v>0.5</v>
      </c>
      <c r="H158" s="22" t="n">
        <f aca="false">G158*F158*E158</f>
        <v>12.88575</v>
      </c>
      <c r="I158" s="20"/>
      <c r="K158" s="23" t="n">
        <f aca="false">Рынок!$D$3</f>
        <v>0.665291730423791</v>
      </c>
      <c r="L158" s="3" t="n">
        <f aca="false">K158*F158*E158</f>
        <v>17.1455658306167</v>
      </c>
    </row>
    <row r="159" customFormat="false" ht="15" hidden="false" customHeight="true" outlineLevel="0" collapsed="false">
      <c r="A159" s="15" t="s">
        <v>20</v>
      </c>
      <c r="B159" s="15" t="s">
        <v>544</v>
      </c>
      <c r="C159" s="15" t="s">
        <v>174</v>
      </c>
      <c r="D159" s="16" t="s">
        <v>157</v>
      </c>
      <c r="E159" s="35" t="n">
        <f aca="false">E158</f>
        <v>25.7715</v>
      </c>
      <c r="F159" s="65" t="n">
        <v>1</v>
      </c>
      <c r="G159" s="12" t="n">
        <f aca="false">'Dups+ B&amp;B Rates'!$I$18</f>
        <v>1</v>
      </c>
      <c r="H159" s="22" t="n">
        <f aca="false">G159*F159*E159</f>
        <v>25.7715</v>
      </c>
      <c r="I159" s="20"/>
      <c r="K159" s="21" t="n">
        <f aca="false">G159</f>
        <v>1</v>
      </c>
      <c r="L159" s="3" t="n">
        <f aca="false">K159*F159*E159</f>
        <v>25.7715</v>
      </c>
    </row>
    <row r="160" customFormat="false" ht="15" hidden="false" customHeight="true" outlineLevel="0" collapsed="false">
      <c r="A160" s="15" t="s">
        <v>21</v>
      </c>
      <c r="B160" s="30" t="s">
        <v>545</v>
      </c>
      <c r="C160" s="30" t="s">
        <v>545</v>
      </c>
      <c r="D160" s="16" t="s">
        <v>424</v>
      </c>
      <c r="E160" s="35" t="n">
        <f aca="false">3.8*2.65/2</f>
        <v>5.035</v>
      </c>
      <c r="F160" s="24" t="n">
        <v>1</v>
      </c>
      <c r="G160" s="12" t="n">
        <f aca="false">'Dups+ B&amp;B Rates'!$I$9</f>
        <v>9</v>
      </c>
      <c r="H160" s="22" t="n">
        <f aca="false">G160*F160*E160</f>
        <v>45.315</v>
      </c>
      <c r="I160" s="20"/>
      <c r="J160" s="26" t="s">
        <v>425</v>
      </c>
      <c r="K160" s="23" t="n">
        <f aca="false">Рынок!$D$9</f>
        <v>10.6446676867807</v>
      </c>
      <c r="L160" s="3" t="n">
        <f aca="false">K160*F160*E160</f>
        <v>53.5959018029406</v>
      </c>
    </row>
    <row r="161" customFormat="false" ht="15" hidden="false" customHeight="true" outlineLevel="0" collapsed="false">
      <c r="A161" s="15" t="s">
        <v>21</v>
      </c>
      <c r="B161" s="15" t="s">
        <v>423</v>
      </c>
      <c r="C161" s="15" t="s">
        <v>163</v>
      </c>
      <c r="D161" s="16" t="s">
        <v>424</v>
      </c>
      <c r="E161" s="35" t="n">
        <v>8</v>
      </c>
      <c r="F161" s="24" t="n">
        <v>1</v>
      </c>
      <c r="G161" s="12" t="n">
        <f aca="false">'Dups+ B&amp;B Rates'!$I$19</f>
        <v>2</v>
      </c>
      <c r="H161" s="22" t="n">
        <f aca="false">G161*F161*E161</f>
        <v>16</v>
      </c>
      <c r="I161" s="20"/>
      <c r="K161" s="21" t="n">
        <f aca="false">G161</f>
        <v>2</v>
      </c>
      <c r="L161" s="3" t="n">
        <f aca="false">K161*F161*E161</f>
        <v>16</v>
      </c>
    </row>
    <row r="162" customFormat="false" ht="15" hidden="false" customHeight="true" outlineLevel="0" collapsed="false">
      <c r="A162" s="15" t="s">
        <v>21</v>
      </c>
      <c r="B162" s="15" t="s">
        <v>215</v>
      </c>
      <c r="C162" s="30" t="s">
        <v>215</v>
      </c>
      <c r="D162" s="16" t="s">
        <v>424</v>
      </c>
      <c r="E162" s="35" t="n">
        <v>8</v>
      </c>
      <c r="F162" s="24" t="n">
        <v>1</v>
      </c>
      <c r="G162" s="12" t="n">
        <f aca="false">'Dups+ B&amp;B Rates'!$I$28</f>
        <v>3</v>
      </c>
      <c r="H162" s="22" t="n">
        <f aca="false">G162*F162*E162</f>
        <v>24</v>
      </c>
      <c r="I162" s="20"/>
      <c r="J162" s="26" t="s">
        <v>425</v>
      </c>
      <c r="K162" s="21" t="n">
        <f aca="false">G162</f>
        <v>3</v>
      </c>
      <c r="L162" s="3" t="n">
        <f aca="false">K162*F162*E162</f>
        <v>24</v>
      </c>
    </row>
    <row r="163" customFormat="false" ht="15" hidden="false" customHeight="true" outlineLevel="0" collapsed="false">
      <c r="A163" s="15" t="s">
        <v>21</v>
      </c>
      <c r="B163" s="15" t="s">
        <v>430</v>
      </c>
      <c r="C163" s="15" t="s">
        <v>172</v>
      </c>
      <c r="D163" s="16" t="s">
        <v>157</v>
      </c>
      <c r="E163" s="35" t="n">
        <f aca="false">E160</f>
        <v>5.035</v>
      </c>
      <c r="F163" s="24" t="n">
        <v>1</v>
      </c>
      <c r="G163" s="12" t="n">
        <f aca="false">'Dups+ B&amp;B Rates'!$I$3</f>
        <v>0.5</v>
      </c>
      <c r="H163" s="22" t="n">
        <f aca="false">G163*F163*E163</f>
        <v>2.5175</v>
      </c>
      <c r="I163" s="20"/>
      <c r="K163" s="23" t="n">
        <f aca="false">Рынок!$D$3</f>
        <v>0.665291730423791</v>
      </c>
      <c r="L163" s="3" t="n">
        <f aca="false">K163*F163*E163</f>
        <v>3.34974386268379</v>
      </c>
    </row>
    <row r="164" customFormat="false" ht="15" hidden="false" customHeight="true" outlineLevel="0" collapsed="false">
      <c r="A164" s="15" t="s">
        <v>21</v>
      </c>
      <c r="B164" s="15" t="s">
        <v>484</v>
      </c>
      <c r="C164" s="30" t="s">
        <v>174</v>
      </c>
      <c r="D164" s="16" t="s">
        <v>157</v>
      </c>
      <c r="E164" s="35" t="n">
        <f aca="false">E160</f>
        <v>5.035</v>
      </c>
      <c r="F164" s="65" t="n">
        <v>1</v>
      </c>
      <c r="G164" s="12" t="n">
        <f aca="false">'Dups+ B&amp;B Rates'!$I$18</f>
        <v>1</v>
      </c>
      <c r="H164" s="22" t="n">
        <f aca="false">G164*F164*E164</f>
        <v>5.035</v>
      </c>
      <c r="I164" s="20"/>
      <c r="K164" s="21" t="n">
        <f aca="false">G164</f>
        <v>1</v>
      </c>
      <c r="L164" s="3" t="n">
        <f aca="false">K164*F164*E164</f>
        <v>5.035</v>
      </c>
    </row>
    <row r="165" customFormat="false" ht="15" hidden="false" customHeight="true" outlineLevel="0" collapsed="false">
      <c r="A165" s="15" t="s">
        <v>21</v>
      </c>
      <c r="B165" s="15" t="s">
        <v>546</v>
      </c>
      <c r="C165" s="30" t="s">
        <v>287</v>
      </c>
      <c r="D165" s="16" t="s">
        <v>157</v>
      </c>
      <c r="E165" s="35" t="n">
        <f aca="false">E160</f>
        <v>5.035</v>
      </c>
      <c r="F165" s="24" t="n">
        <v>1</v>
      </c>
      <c r="G165" s="12" t="n">
        <f aca="false">'Dups+ B&amp;B Rates'!$I$16</f>
        <v>2</v>
      </c>
      <c r="H165" s="22" t="n">
        <f aca="false">G165*F165*E165</f>
        <v>10.07</v>
      </c>
      <c r="I165" s="20"/>
      <c r="K165" s="23" t="n">
        <f aca="false">Рынок!$D$11</f>
        <v>4.32439624775464</v>
      </c>
      <c r="L165" s="3" t="n">
        <f aca="false">K165*F165*E165</f>
        <v>21.7733351074446</v>
      </c>
    </row>
    <row r="166" customFormat="false" ht="15" hidden="false" customHeight="true" outlineLevel="0" collapsed="false">
      <c r="A166" s="15" t="s">
        <v>21</v>
      </c>
      <c r="B166" s="15" t="s">
        <v>547</v>
      </c>
      <c r="C166" s="30" t="s">
        <v>231</v>
      </c>
      <c r="D166" s="16" t="s">
        <v>157</v>
      </c>
      <c r="E166" s="35" t="n">
        <f aca="false">E165</f>
        <v>5.035</v>
      </c>
      <c r="F166" s="24" t="n">
        <v>1</v>
      </c>
      <c r="G166" s="66" t="n">
        <f aca="false">'Dups+ B&amp;B Rates'!$I$28</f>
        <v>3</v>
      </c>
      <c r="H166" s="48" t="n">
        <f aca="false">G166*F166*E166</f>
        <v>15.105</v>
      </c>
      <c r="I166" s="20"/>
      <c r="K166" s="21" t="n">
        <f aca="false">G166</f>
        <v>3</v>
      </c>
      <c r="L166" s="3" t="n">
        <f aca="false">K166*F166*E166</f>
        <v>15.105</v>
      </c>
    </row>
    <row r="167" customFormat="false" ht="15" hidden="false" customHeight="true" outlineLevel="0" collapsed="false">
      <c r="A167" s="15" t="s">
        <v>21</v>
      </c>
      <c r="B167" s="15" t="s">
        <v>548</v>
      </c>
      <c r="C167" s="15" t="s">
        <v>172</v>
      </c>
      <c r="D167" s="16" t="s">
        <v>157</v>
      </c>
      <c r="E167" s="35" t="n">
        <f aca="false">E166</f>
        <v>5.035</v>
      </c>
      <c r="F167" s="24" t="n">
        <v>1</v>
      </c>
      <c r="G167" s="66" t="n">
        <f aca="false">'Dups+ B&amp;B Rates'!$I$3</f>
        <v>0.5</v>
      </c>
      <c r="H167" s="48" t="n">
        <f aca="false">G167*F167*E167</f>
        <v>2.5175</v>
      </c>
      <c r="I167" s="20"/>
      <c r="K167" s="23" t="n">
        <f aca="false">Рынок!$D$3</f>
        <v>0.665291730423791</v>
      </c>
      <c r="L167" s="3" t="n">
        <f aca="false">K167*F167*E167</f>
        <v>3.34974386268379</v>
      </c>
    </row>
    <row r="168" customFormat="false" ht="15" hidden="false" customHeight="true" outlineLevel="0" collapsed="false">
      <c r="A168" s="15" t="s">
        <v>21</v>
      </c>
      <c r="B168" s="15" t="s">
        <v>549</v>
      </c>
      <c r="C168" s="30" t="s">
        <v>174</v>
      </c>
      <c r="D168" s="16" t="s">
        <v>157</v>
      </c>
      <c r="E168" s="35" t="n">
        <f aca="false">E167</f>
        <v>5.035</v>
      </c>
      <c r="F168" s="65" t="n">
        <v>1</v>
      </c>
      <c r="G168" s="66" t="n">
        <f aca="false">'Dups+ B&amp;B Rates'!$I$18</f>
        <v>1</v>
      </c>
      <c r="H168" s="48" t="n">
        <f aca="false">G168*F168*E168</f>
        <v>5.035</v>
      </c>
      <c r="I168" s="20"/>
      <c r="K168" s="21" t="n">
        <f aca="false">G168</f>
        <v>1</v>
      </c>
      <c r="L168" s="3" t="n">
        <f aca="false">K168*F168*E168</f>
        <v>5.035</v>
      </c>
    </row>
    <row r="169" customFormat="false" ht="15" hidden="false" customHeight="true" outlineLevel="0" collapsed="false">
      <c r="A169" s="67"/>
      <c r="C169" s="30"/>
      <c r="D169" s="16"/>
      <c r="E169" s="68"/>
      <c r="F169" s="24" t="n">
        <v>1</v>
      </c>
      <c r="G169" s="66"/>
      <c r="H169" s="48"/>
      <c r="I169" s="20"/>
    </row>
    <row r="170" customFormat="false" ht="15" hidden="false" customHeight="true" outlineLevel="0" collapsed="false">
      <c r="A170" s="67" t="s">
        <v>550</v>
      </c>
      <c r="C170" s="30"/>
      <c r="D170" s="16"/>
      <c r="E170" s="68"/>
      <c r="F170" s="24" t="n">
        <v>1</v>
      </c>
      <c r="G170" s="66"/>
      <c r="H170" s="48"/>
      <c r="I170" s="20"/>
    </row>
    <row r="171" customFormat="false" ht="15" hidden="false" customHeight="true" outlineLevel="0" collapsed="false">
      <c r="A171" s="15" t="s">
        <v>22</v>
      </c>
      <c r="B171" s="15" t="s">
        <v>551</v>
      </c>
      <c r="C171" s="30" t="s">
        <v>261</v>
      </c>
      <c r="D171" s="16" t="s">
        <v>157</v>
      </c>
      <c r="E171" s="15" t="n">
        <f aca="false">0.97+2.69*2+0.82+2.68*2</f>
        <v>12.53</v>
      </c>
      <c r="F171" s="24" t="n">
        <v>1</v>
      </c>
      <c r="G171" s="12" t="n">
        <f aca="false">'Dups+ B&amp;B Rates'!$I$9</f>
        <v>9</v>
      </c>
      <c r="H171" s="48" t="n">
        <f aca="false">G171*F171*E171</f>
        <v>112.77</v>
      </c>
      <c r="I171" s="20"/>
      <c r="K171" s="23" t="n">
        <f aca="false">Рынок!$D$9</f>
        <v>10.6446676867807</v>
      </c>
      <c r="L171" s="3" t="n">
        <f aca="false">K171*F171*E171</f>
        <v>133.377686115362</v>
      </c>
    </row>
    <row r="172" customFormat="false" ht="15" hidden="false" customHeight="true" outlineLevel="0" collapsed="false">
      <c r="A172" s="15" t="s">
        <v>22</v>
      </c>
      <c r="B172" s="69" t="s">
        <v>423</v>
      </c>
      <c r="C172" s="30" t="s">
        <v>552</v>
      </c>
      <c r="D172" s="16" t="s">
        <v>424</v>
      </c>
      <c r="E172" s="68"/>
      <c r="F172" s="24" t="n">
        <v>1</v>
      </c>
      <c r="G172" s="12"/>
      <c r="H172" s="48"/>
      <c r="I172" s="20"/>
      <c r="J172" s="1" t="s">
        <v>456</v>
      </c>
    </row>
    <row r="173" customFormat="false" ht="15" hidden="false" customHeight="true" outlineLevel="0" collapsed="false">
      <c r="A173" s="15" t="s">
        <v>22</v>
      </c>
      <c r="B173" s="15" t="s">
        <v>207</v>
      </c>
      <c r="C173" s="30" t="s">
        <v>207</v>
      </c>
      <c r="D173" s="16" t="s">
        <v>424</v>
      </c>
      <c r="E173" s="68"/>
      <c r="F173" s="24" t="n">
        <v>1</v>
      </c>
      <c r="G173" s="12"/>
      <c r="H173" s="48"/>
      <c r="I173" s="20"/>
      <c r="J173" s="1" t="s">
        <v>456</v>
      </c>
    </row>
    <row r="174" customFormat="false" ht="15" hidden="false" customHeight="true" outlineLevel="0" collapsed="false">
      <c r="A174" s="15" t="s">
        <v>22</v>
      </c>
      <c r="B174" s="15" t="s">
        <v>553</v>
      </c>
      <c r="C174" s="30" t="s">
        <v>554</v>
      </c>
      <c r="D174" s="16" t="s">
        <v>157</v>
      </c>
      <c r="E174" s="68"/>
      <c r="F174" s="24" t="n">
        <v>1</v>
      </c>
      <c r="G174" s="12"/>
      <c r="H174" s="48"/>
      <c r="I174" s="20"/>
      <c r="J174" s="1" t="s">
        <v>456</v>
      </c>
    </row>
    <row r="175" customFormat="false" ht="15" hidden="false" customHeight="true" outlineLevel="0" collapsed="false">
      <c r="A175" s="15" t="s">
        <v>22</v>
      </c>
      <c r="B175" s="15" t="s">
        <v>555</v>
      </c>
      <c r="C175" s="30" t="s">
        <v>556</v>
      </c>
      <c r="D175" s="16" t="s">
        <v>157</v>
      </c>
      <c r="E175" s="68"/>
      <c r="F175" s="24" t="n">
        <v>1</v>
      </c>
      <c r="G175" s="12"/>
      <c r="H175" s="48"/>
      <c r="I175" s="20"/>
      <c r="J175" s="1" t="s">
        <v>456</v>
      </c>
    </row>
    <row r="176" customFormat="false" ht="15.75" hidden="false" customHeight="true" outlineLevel="0" collapsed="false">
      <c r="F176" s="6" t="n">
        <v>1</v>
      </c>
      <c r="H176" s="22"/>
    </row>
    <row r="177" customFormat="false" ht="15.75" hidden="false" customHeight="true" outlineLevel="0" collapsed="false">
      <c r="F177" s="6" t="n">
        <v>1</v>
      </c>
      <c r="H177" s="22"/>
    </row>
    <row r="178" customFormat="false" ht="15" hidden="false" customHeight="true" outlineLevel="0" collapsed="false">
      <c r="A178" s="15" t="s">
        <v>22</v>
      </c>
      <c r="B178" s="15" t="s">
        <v>207</v>
      </c>
      <c r="C178" s="30" t="s">
        <v>215</v>
      </c>
      <c r="D178" s="16" t="s">
        <v>424</v>
      </c>
      <c r="E178" s="70" t="n">
        <f aca="false">4*2.88</f>
        <v>11.52</v>
      </c>
      <c r="F178" s="24" t="n">
        <v>1</v>
      </c>
      <c r="G178" s="12" t="n">
        <f aca="false">'Dups+ B&amp;B Rates'!$I$28</f>
        <v>3</v>
      </c>
      <c r="H178" s="48" t="n">
        <f aca="false">G178*F178*E178</f>
        <v>34.56</v>
      </c>
      <c r="I178" s="20"/>
      <c r="J178" s="26" t="s">
        <v>425</v>
      </c>
      <c r="K178" s="21" t="n">
        <f aca="false">G178</f>
        <v>3</v>
      </c>
      <c r="L178" s="3" t="n">
        <f aca="false">K178*F178*E178</f>
        <v>34.56</v>
      </c>
    </row>
    <row r="179" customFormat="false" ht="15" hidden="false" customHeight="true" outlineLevel="0" collapsed="false">
      <c r="A179" s="15" t="s">
        <v>22</v>
      </c>
      <c r="B179" s="15" t="s">
        <v>557</v>
      </c>
      <c r="C179" s="15" t="s">
        <v>261</v>
      </c>
      <c r="D179" s="16" t="s">
        <v>157</v>
      </c>
      <c r="E179" s="71" t="n">
        <f aca="false">1.2*2.88</f>
        <v>3.456</v>
      </c>
      <c r="F179" s="24" t="n">
        <v>1</v>
      </c>
      <c r="G179" s="12" t="n">
        <f aca="false">'Dups+ B&amp;B Rates'!$I$9</f>
        <v>9</v>
      </c>
      <c r="H179" s="22" t="n">
        <f aca="false">G179*F179*E179</f>
        <v>31.104</v>
      </c>
      <c r="I179" s="20"/>
      <c r="K179" s="23" t="n">
        <f aca="false">Рынок!$D$9</f>
        <v>10.6446676867807</v>
      </c>
      <c r="L179" s="3" t="n">
        <f aca="false">K179*F179*E179</f>
        <v>36.7879715255139</v>
      </c>
    </row>
    <row r="180" customFormat="false" ht="15" hidden="false" customHeight="true" outlineLevel="0" collapsed="false">
      <c r="A180" s="15" t="s">
        <v>22</v>
      </c>
      <c r="B180" s="15" t="s">
        <v>558</v>
      </c>
      <c r="C180" s="15" t="s">
        <v>558</v>
      </c>
      <c r="D180" s="16" t="s">
        <v>179</v>
      </c>
      <c r="E180" s="71" t="n">
        <v>1</v>
      </c>
      <c r="F180" s="24" t="n">
        <v>1</v>
      </c>
      <c r="G180" s="27"/>
      <c r="H180" s="28"/>
      <c r="I180" s="20"/>
      <c r="J180" s="1" t="s">
        <v>559</v>
      </c>
    </row>
    <row r="181" customFormat="false" ht="15" hidden="false" customHeight="true" outlineLevel="0" collapsed="false">
      <c r="A181" s="15" t="s">
        <v>22</v>
      </c>
      <c r="B181" s="15" t="s">
        <v>174</v>
      </c>
      <c r="C181" s="15" t="s">
        <v>174</v>
      </c>
      <c r="D181" s="16" t="s">
        <v>157</v>
      </c>
      <c r="E181" s="70" t="n">
        <f aca="false">(4.47+5.45)*2*2.88-0.97*2.69-0.82*2.68-1.47*2.68-0.88*4-1.76*2.06-0.83*2.38-2.68*0.81-1.46*2.88</f>
        <v>32.8961</v>
      </c>
      <c r="F181" s="24" t="n">
        <v>2</v>
      </c>
      <c r="G181" s="12" t="n">
        <f aca="false">'Dups+ B&amp;B Rates'!$I$18</f>
        <v>1</v>
      </c>
      <c r="H181" s="22" t="n">
        <f aca="false">G181*F181*E181</f>
        <v>65.7922</v>
      </c>
      <c r="I181" s="20"/>
      <c r="K181" s="21" t="n">
        <f aca="false">G181</f>
        <v>1</v>
      </c>
      <c r="L181" s="3" t="n">
        <f aca="false">K181*F181*E181</f>
        <v>65.7922</v>
      </c>
    </row>
    <row r="182" customFormat="false" ht="15" hidden="false" customHeight="true" outlineLevel="0" collapsed="false">
      <c r="A182" s="15" t="s">
        <v>22</v>
      </c>
      <c r="B182" s="15" t="s">
        <v>560</v>
      </c>
      <c r="C182" s="30" t="s">
        <v>178</v>
      </c>
      <c r="D182" s="16" t="s">
        <v>179</v>
      </c>
      <c r="E182" s="70" t="n">
        <v>5</v>
      </c>
      <c r="F182" s="24" t="n">
        <v>1</v>
      </c>
      <c r="G182" s="12" t="n">
        <f aca="false">'Dups+ B&amp;B Rates'!$I$31</f>
        <v>15</v>
      </c>
      <c r="H182" s="22" t="n">
        <f aca="false">G182*F182*E182</f>
        <v>75</v>
      </c>
      <c r="I182" s="20"/>
      <c r="K182" s="21" t="n">
        <f aca="false">G182</f>
        <v>15</v>
      </c>
      <c r="L182" s="3" t="n">
        <f aca="false">K182*F182*E182</f>
        <v>75</v>
      </c>
    </row>
    <row r="183" customFormat="false" ht="15" hidden="false" customHeight="true" outlineLevel="0" collapsed="false">
      <c r="A183" s="15" t="s">
        <v>22</v>
      </c>
      <c r="B183" s="15" t="s">
        <v>77</v>
      </c>
      <c r="C183" s="30" t="s">
        <v>258</v>
      </c>
      <c r="D183" s="16" t="s">
        <v>424</v>
      </c>
      <c r="E183" s="70" t="n">
        <f aca="false">1.47+0.97+2.69*2+2.68*2+0.82+0.8*2+2.05*6+1.77+0.84+2.38*2</f>
        <v>35.27</v>
      </c>
      <c r="F183" s="24" t="n">
        <v>1</v>
      </c>
      <c r="G183" s="12" t="n">
        <f aca="false">'Dups+ B&amp;B Rates'!$I$12</f>
        <v>10</v>
      </c>
      <c r="H183" s="22" t="n">
        <f aca="false">G183*F183*E183</f>
        <v>352.7</v>
      </c>
      <c r="I183" s="20"/>
      <c r="K183" s="21" t="n">
        <f aca="false">G183</f>
        <v>10</v>
      </c>
      <c r="L183" s="3" t="n">
        <f aca="false">K183*F183*E183</f>
        <v>352.7</v>
      </c>
    </row>
    <row r="184" customFormat="false" ht="15" hidden="false" customHeight="true" outlineLevel="0" collapsed="false">
      <c r="A184" s="15" t="s">
        <v>22</v>
      </c>
      <c r="B184" s="15" t="s">
        <v>475</v>
      </c>
      <c r="C184" s="30" t="s">
        <v>170</v>
      </c>
      <c r="D184" s="16" t="s">
        <v>424</v>
      </c>
      <c r="E184" s="70" t="n">
        <f aca="false">1.47+0.97+2.69*2+2.68*2+0.82+0.88*2+2.05*6+1.77+0.84+2.38*2</f>
        <v>35.43</v>
      </c>
      <c r="F184" s="24" t="n">
        <v>1</v>
      </c>
      <c r="G184" s="12" t="n">
        <f aca="false">'Dups+ B&amp;B Rates'!$I$22</f>
        <v>2.5</v>
      </c>
      <c r="H184" s="22" t="n">
        <f aca="false">G184*F184*E184</f>
        <v>88.575</v>
      </c>
      <c r="I184" s="20"/>
      <c r="K184" s="21" t="n">
        <f aca="false">G184</f>
        <v>2.5</v>
      </c>
      <c r="L184" s="3" t="n">
        <f aca="false">K184*F184*E184</f>
        <v>88.575</v>
      </c>
    </row>
    <row r="185" customFormat="false" ht="15" hidden="false" customHeight="true" outlineLevel="0" collapsed="false">
      <c r="A185" s="15" t="s">
        <v>22</v>
      </c>
      <c r="B185" s="15" t="s">
        <v>561</v>
      </c>
      <c r="C185" s="30" t="s">
        <v>307</v>
      </c>
      <c r="D185" s="16" t="s">
        <v>424</v>
      </c>
      <c r="E185" s="70" t="n">
        <f aca="false">2.88*2+2.68*4+0.82+0.98+0.2</f>
        <v>18.48</v>
      </c>
      <c r="F185" s="24" t="n">
        <v>1</v>
      </c>
      <c r="G185" s="12" t="n">
        <f aca="false">'Dups+ B&amp;B Rates'!$I$19</f>
        <v>2</v>
      </c>
      <c r="H185" s="22" t="n">
        <f aca="false">G185*F185*E185</f>
        <v>36.96</v>
      </c>
      <c r="I185" s="20"/>
      <c r="K185" s="21" t="n">
        <f aca="false">G185</f>
        <v>2</v>
      </c>
      <c r="L185" s="3" t="n">
        <f aca="false">K185*F185*E185</f>
        <v>36.96</v>
      </c>
    </row>
    <row r="186" customFormat="false" ht="15" hidden="false" customHeight="true" outlineLevel="0" collapsed="false">
      <c r="A186" s="15" t="s">
        <v>22</v>
      </c>
      <c r="B186" s="15" t="s">
        <v>562</v>
      </c>
      <c r="C186" s="30"/>
      <c r="D186" s="16" t="s">
        <v>179</v>
      </c>
      <c r="E186" s="70"/>
      <c r="F186" s="24" t="n">
        <v>1</v>
      </c>
      <c r="G186" s="12"/>
      <c r="H186" s="22"/>
      <c r="I186" s="20"/>
      <c r="J186" s="1" t="s">
        <v>456</v>
      </c>
    </row>
    <row r="187" customFormat="false" ht="15" hidden="false" customHeight="true" outlineLevel="0" collapsed="false">
      <c r="A187" s="15" t="s">
        <v>22</v>
      </c>
      <c r="B187" s="72" t="s">
        <v>563</v>
      </c>
      <c r="C187" s="15" t="s">
        <v>172</v>
      </c>
      <c r="D187" s="16" t="s">
        <v>157</v>
      </c>
      <c r="E187" s="70" t="n">
        <v>32.9</v>
      </c>
      <c r="F187" s="24" t="n">
        <v>1</v>
      </c>
      <c r="G187" s="12" t="n">
        <f aca="false">'Dups+ B&amp;B Rates'!$I$3</f>
        <v>0.5</v>
      </c>
      <c r="H187" s="22" t="n">
        <f aca="false">G187*F187*E187</f>
        <v>16.45</v>
      </c>
      <c r="I187" s="20"/>
      <c r="K187" s="23" t="n">
        <f aca="false">Рынок!$D$3</f>
        <v>0.665291730423791</v>
      </c>
      <c r="L187" s="3" t="n">
        <f aca="false">K187*F187*E187</f>
        <v>21.8880979309427</v>
      </c>
    </row>
    <row r="188" customFormat="false" ht="15.75" hidden="false" customHeight="true" outlineLevel="0" collapsed="false">
      <c r="F188" s="6" t="n">
        <v>1</v>
      </c>
      <c r="H188" s="22"/>
    </row>
    <row r="189" customFormat="false" ht="15.75" hidden="false" customHeight="true" outlineLevel="0" collapsed="false">
      <c r="F189" s="6" t="n">
        <v>1</v>
      </c>
      <c r="H189" s="22"/>
    </row>
    <row r="190" customFormat="false" ht="15" hidden="false" customHeight="true" outlineLevel="0" collapsed="false">
      <c r="A190" s="15" t="s">
        <v>22</v>
      </c>
      <c r="B190" s="42" t="s">
        <v>564</v>
      </c>
      <c r="C190" s="30"/>
      <c r="D190" s="16" t="s">
        <v>424</v>
      </c>
      <c r="E190" s="71"/>
      <c r="F190" s="24" t="n">
        <v>1</v>
      </c>
      <c r="G190" s="12"/>
      <c r="H190" s="22"/>
      <c r="I190" s="20"/>
      <c r="J190" s="1" t="s">
        <v>456</v>
      </c>
    </row>
    <row r="191" customFormat="false" ht="15" hidden="false" customHeight="true" outlineLevel="0" collapsed="false">
      <c r="A191" s="15" t="s">
        <v>22</v>
      </c>
      <c r="B191" s="42" t="s">
        <v>565</v>
      </c>
      <c r="C191" s="30"/>
      <c r="D191" s="16" t="s">
        <v>424</v>
      </c>
      <c r="E191" s="71"/>
      <c r="F191" s="24" t="n">
        <v>1</v>
      </c>
      <c r="G191" s="12"/>
      <c r="H191" s="22"/>
      <c r="I191" s="20"/>
      <c r="J191" s="1" t="s">
        <v>456</v>
      </c>
    </row>
    <row r="192" customFormat="false" ht="15" hidden="false" customHeight="true" outlineLevel="0" collapsed="false">
      <c r="A192" s="15" t="s">
        <v>22</v>
      </c>
      <c r="B192" s="42" t="s">
        <v>566</v>
      </c>
      <c r="C192" s="30"/>
      <c r="D192" s="16" t="s">
        <v>179</v>
      </c>
      <c r="E192" s="71" t="n">
        <v>5</v>
      </c>
      <c r="F192" s="24" t="n">
        <v>1</v>
      </c>
      <c r="G192" s="12"/>
      <c r="H192" s="22"/>
      <c r="I192" s="20"/>
      <c r="J192" s="1" t="s">
        <v>456</v>
      </c>
    </row>
    <row r="193" customFormat="false" ht="15" hidden="false" customHeight="true" outlineLevel="0" collapsed="false">
      <c r="A193" s="73" t="s">
        <v>23</v>
      </c>
      <c r="B193" s="69" t="s">
        <v>567</v>
      </c>
      <c r="C193" s="74" t="s">
        <v>355</v>
      </c>
      <c r="D193" s="16" t="s">
        <v>157</v>
      </c>
      <c r="E193" s="75"/>
      <c r="F193" s="24" t="n">
        <v>1</v>
      </c>
      <c r="G193" s="12"/>
      <c r="H193" s="22"/>
      <c r="I193" s="20"/>
      <c r="J193" s="1" t="s">
        <v>456</v>
      </c>
    </row>
    <row r="194" customFormat="false" ht="15" hidden="false" customHeight="true" outlineLevel="0" collapsed="false">
      <c r="A194" s="15" t="s">
        <v>23</v>
      </c>
      <c r="B194" s="25" t="s">
        <v>423</v>
      </c>
      <c r="C194" s="15" t="s">
        <v>568</v>
      </c>
      <c r="D194" s="16" t="s">
        <v>424</v>
      </c>
      <c r="E194" s="68"/>
      <c r="F194" s="24" t="n">
        <v>1</v>
      </c>
      <c r="G194" s="12"/>
      <c r="H194" s="48"/>
      <c r="I194" s="20"/>
      <c r="J194" s="1" t="s">
        <v>456</v>
      </c>
    </row>
    <row r="195" customFormat="false" ht="15" hidden="false" customHeight="true" outlineLevel="0" collapsed="false">
      <c r="A195" s="15" t="s">
        <v>23</v>
      </c>
      <c r="B195" s="15" t="s">
        <v>569</v>
      </c>
      <c r="C195" s="30" t="s">
        <v>205</v>
      </c>
      <c r="D195" s="16" t="s">
        <v>157</v>
      </c>
      <c r="E195" s="68" t="n">
        <v>2</v>
      </c>
      <c r="F195" s="24" t="n">
        <v>1</v>
      </c>
      <c r="G195" s="12" t="n">
        <f aca="false">'Dups+ B&amp;B Rates'!$I$27</f>
        <v>4</v>
      </c>
      <c r="H195" s="48" t="n">
        <f aca="false">G195*F195*E195</f>
        <v>8</v>
      </c>
      <c r="I195" s="20"/>
      <c r="K195" s="21" t="n">
        <f aca="false">G195</f>
        <v>4</v>
      </c>
      <c r="L195" s="3" t="n">
        <f aca="false">K195*F195*E195</f>
        <v>8</v>
      </c>
    </row>
    <row r="196" customFormat="false" ht="15" hidden="false" customHeight="true" outlineLevel="0" collapsed="false">
      <c r="A196" s="15" t="s">
        <v>23</v>
      </c>
      <c r="B196" s="15" t="s">
        <v>205</v>
      </c>
      <c r="C196" s="30" t="s">
        <v>205</v>
      </c>
      <c r="D196" s="16" t="s">
        <v>424</v>
      </c>
      <c r="E196" s="70" t="n">
        <f aca="false">5.45*4+4.47</f>
        <v>26.27</v>
      </c>
      <c r="F196" s="24" t="n">
        <v>1</v>
      </c>
      <c r="G196" s="12" t="n">
        <f aca="false">'Dups+ B&amp;B Rates'!$I$27</f>
        <v>4</v>
      </c>
      <c r="H196" s="48" t="n">
        <f aca="false">G196*F196*E196</f>
        <v>105.08</v>
      </c>
      <c r="I196" s="20"/>
      <c r="J196" s="26" t="s">
        <v>425</v>
      </c>
      <c r="K196" s="21" t="n">
        <f aca="false">G196</f>
        <v>4</v>
      </c>
      <c r="L196" s="3" t="n">
        <f aca="false">K196*F196*E196</f>
        <v>105.08</v>
      </c>
    </row>
    <row r="197" customFormat="false" ht="15" hidden="false" customHeight="true" outlineLevel="0" collapsed="false">
      <c r="A197" s="15" t="s">
        <v>23</v>
      </c>
      <c r="B197" s="15" t="s">
        <v>431</v>
      </c>
      <c r="C197" s="15" t="s">
        <v>187</v>
      </c>
      <c r="D197" s="16" t="s">
        <v>157</v>
      </c>
      <c r="E197" s="70" t="n">
        <f aca="false">E198</f>
        <v>24.3615</v>
      </c>
      <c r="F197" s="24" t="n">
        <v>1</v>
      </c>
      <c r="G197" s="12" t="n">
        <f aca="false">'Dups+ B&amp;B Rates'!$I$3</f>
        <v>0.5</v>
      </c>
      <c r="H197" s="22" t="n">
        <f aca="false">G197*F197*E197</f>
        <v>12.18075</v>
      </c>
      <c r="I197" s="20"/>
      <c r="K197" s="23" t="n">
        <f aca="false">Рынок!$D$3</f>
        <v>0.665291730423791</v>
      </c>
      <c r="L197" s="3" t="n">
        <f aca="false">K197*F197*E197</f>
        <v>16.2075044907192</v>
      </c>
    </row>
    <row r="198" customFormat="false" ht="15" hidden="false" customHeight="true" outlineLevel="0" collapsed="false">
      <c r="A198" s="15" t="s">
        <v>23</v>
      </c>
      <c r="B198" s="15" t="s">
        <v>175</v>
      </c>
      <c r="C198" s="30" t="s">
        <v>175</v>
      </c>
      <c r="D198" s="16" t="s">
        <v>157</v>
      </c>
      <c r="E198" s="70" t="n">
        <f aca="false">4.47*5.45</f>
        <v>24.3615</v>
      </c>
      <c r="F198" s="24" t="n">
        <v>2</v>
      </c>
      <c r="G198" s="12" t="n">
        <f aca="false">'Dups+ B&amp;B Rates'!$I$17</f>
        <v>1.5</v>
      </c>
      <c r="H198" s="22" t="n">
        <f aca="false">G198*F198*E198</f>
        <v>73.0845</v>
      </c>
      <c r="I198" s="20"/>
      <c r="K198" s="21" t="n">
        <f aca="false">G198</f>
        <v>1.5</v>
      </c>
      <c r="L198" s="3" t="n">
        <f aca="false">K198*F198*E198</f>
        <v>73.0845</v>
      </c>
    </row>
    <row r="199" customFormat="false" ht="15" hidden="false" customHeight="true" outlineLevel="0" collapsed="false">
      <c r="A199" s="15" t="s">
        <v>24</v>
      </c>
      <c r="B199" s="15" t="s">
        <v>209</v>
      </c>
      <c r="C199" s="30" t="s">
        <v>209</v>
      </c>
      <c r="D199" s="16" t="s">
        <v>157</v>
      </c>
      <c r="E199" s="75" t="n">
        <f aca="false">0.48*1.47+0.69*0.28+(0.19+0.05)*3.58+0.2*1.47</f>
        <v>2.052</v>
      </c>
      <c r="F199" s="24" t="n">
        <v>1</v>
      </c>
      <c r="G199" s="12" t="n">
        <f aca="false">'Dups+ B&amp;B Rates'!$I$26</f>
        <v>6.5</v>
      </c>
      <c r="H199" s="22" t="n">
        <f aca="false">G199*F199*E199</f>
        <v>13.338</v>
      </c>
      <c r="I199" s="20"/>
      <c r="J199" s="26" t="s">
        <v>466</v>
      </c>
      <c r="K199" s="23" t="n">
        <f aca="false">Рынок!$D$7</f>
        <v>8.31614663029739</v>
      </c>
      <c r="L199" s="3" t="n">
        <f aca="false">K199*F199*E199</f>
        <v>17.0647328853702</v>
      </c>
    </row>
    <row r="200" customFormat="false" ht="15" hidden="false" customHeight="true" outlineLevel="0" collapsed="false">
      <c r="A200" s="15" t="s">
        <v>24</v>
      </c>
      <c r="B200" s="15" t="s">
        <v>170</v>
      </c>
      <c r="C200" s="30" t="s">
        <v>312</v>
      </c>
      <c r="D200" s="16" t="s">
        <v>424</v>
      </c>
      <c r="E200" s="75" t="n">
        <f aca="false">3.58+1.47</f>
        <v>5.05</v>
      </c>
      <c r="F200" s="24" t="n">
        <v>1</v>
      </c>
      <c r="G200" s="12" t="n">
        <f aca="false">'Dups+ B&amp;B Rates'!$I$22</f>
        <v>2.5</v>
      </c>
      <c r="H200" s="22" t="n">
        <f aca="false">G200*F200*E200</f>
        <v>12.625</v>
      </c>
      <c r="I200" s="20"/>
      <c r="K200" s="21" t="n">
        <f aca="false">G200</f>
        <v>2.5</v>
      </c>
      <c r="L200" s="3" t="n">
        <f aca="false">K200*F200*E200</f>
        <v>12.625</v>
      </c>
    </row>
    <row r="201" customFormat="false" ht="15" hidden="false" customHeight="true" outlineLevel="0" collapsed="false">
      <c r="A201" s="15" t="s">
        <v>24</v>
      </c>
      <c r="B201" s="15" t="s">
        <v>307</v>
      </c>
      <c r="C201" s="30" t="s">
        <v>314</v>
      </c>
      <c r="D201" s="16" t="s">
        <v>424</v>
      </c>
      <c r="E201" s="16" t="n">
        <f aca="false">0.28+0.69+0.17+0.44+1.37</f>
        <v>2.95</v>
      </c>
      <c r="F201" s="24" t="n">
        <v>1</v>
      </c>
      <c r="G201" s="12" t="n">
        <f aca="false">'Dups+ B&amp;B Rates'!$I$19</f>
        <v>2</v>
      </c>
      <c r="H201" s="22" t="n">
        <f aca="false">G201*F201*E201</f>
        <v>5.9</v>
      </c>
      <c r="I201" s="20"/>
      <c r="K201" s="21" t="n">
        <f aca="false">G201</f>
        <v>2</v>
      </c>
      <c r="L201" s="3" t="n">
        <f aca="false">K201*F201*E201</f>
        <v>5.9</v>
      </c>
    </row>
    <row r="202" customFormat="false" ht="15" hidden="false" customHeight="true" outlineLevel="0" collapsed="false">
      <c r="A202" s="15" t="s">
        <v>24</v>
      </c>
      <c r="B202" s="76" t="s">
        <v>337</v>
      </c>
      <c r="C202" s="30" t="s">
        <v>316</v>
      </c>
      <c r="D202" s="16" t="s">
        <v>157</v>
      </c>
      <c r="E202" s="68" t="n">
        <f aca="false">E199</f>
        <v>2.052</v>
      </c>
      <c r="F202" s="24" t="n">
        <v>1</v>
      </c>
      <c r="G202" s="12" t="n">
        <f aca="false">'Dups+ B&amp;B Rates'!$I$3</f>
        <v>0.5</v>
      </c>
      <c r="H202" s="22" t="n">
        <f aca="false">G202*F202*E202</f>
        <v>1.026</v>
      </c>
      <c r="I202" s="20"/>
      <c r="K202" s="23" t="n">
        <f aca="false">Рынок!$D$3</f>
        <v>0.665291730423791</v>
      </c>
      <c r="L202" s="3" t="n">
        <f aca="false">K202*F202*E202</f>
        <v>1.36517863082962</v>
      </c>
    </row>
    <row r="203" customFormat="false" ht="15" hidden="false" customHeight="true" outlineLevel="0" collapsed="false">
      <c r="A203" s="15" t="s">
        <v>24</v>
      </c>
      <c r="B203" s="15" t="s">
        <v>317</v>
      </c>
      <c r="C203" s="30" t="s">
        <v>317</v>
      </c>
      <c r="D203" s="16" t="s">
        <v>157</v>
      </c>
      <c r="E203" s="68" t="n">
        <f aca="false">E199</f>
        <v>2.052</v>
      </c>
      <c r="F203" s="24" t="n">
        <v>2</v>
      </c>
      <c r="G203" s="12" t="n">
        <f aca="false">'Dups+ B&amp;B Rates'!$I$18</f>
        <v>1</v>
      </c>
      <c r="H203" s="22" t="n">
        <f aca="false">G203*F203*E203</f>
        <v>4.104</v>
      </c>
      <c r="I203" s="20"/>
      <c r="K203" s="21" t="n">
        <f aca="false">G203</f>
        <v>1</v>
      </c>
      <c r="L203" s="3" t="n">
        <f aca="false">K203*F203*E203</f>
        <v>4.104</v>
      </c>
    </row>
    <row r="204" customFormat="false" ht="15" hidden="false" customHeight="true" outlineLevel="0" collapsed="false">
      <c r="A204" s="15"/>
      <c r="B204" s="15"/>
      <c r="C204" s="30"/>
      <c r="D204" s="16"/>
      <c r="E204" s="68"/>
      <c r="F204" s="24" t="n">
        <v>1</v>
      </c>
      <c r="G204" s="12"/>
      <c r="H204" s="22"/>
      <c r="I204" s="20"/>
    </row>
    <row r="205" customFormat="false" ht="15" hidden="false" customHeight="true" outlineLevel="0" collapsed="false">
      <c r="A205" s="15"/>
      <c r="B205" s="15"/>
      <c r="C205" s="30"/>
      <c r="D205" s="16"/>
      <c r="E205" s="68"/>
      <c r="F205" s="24" t="n">
        <v>1</v>
      </c>
      <c r="G205" s="12"/>
      <c r="H205" s="22"/>
      <c r="I205" s="20"/>
    </row>
    <row r="206" customFormat="false" ht="15" hidden="false" customHeight="true" outlineLevel="0" collapsed="false">
      <c r="A206" s="15" t="s">
        <v>25</v>
      </c>
      <c r="B206" s="15" t="s">
        <v>422</v>
      </c>
      <c r="C206" s="15" t="s">
        <v>249</v>
      </c>
      <c r="D206" s="16" t="s">
        <v>157</v>
      </c>
      <c r="E206" s="68"/>
      <c r="F206" s="24" t="n">
        <v>1</v>
      </c>
      <c r="G206" s="12"/>
      <c r="H206" s="22"/>
      <c r="I206" s="20"/>
      <c r="J206" s="1" t="s">
        <v>456</v>
      </c>
    </row>
    <row r="207" customFormat="false" ht="15" hidden="false" customHeight="true" outlineLevel="0" collapsed="false">
      <c r="A207" s="15" t="s">
        <v>25</v>
      </c>
      <c r="B207" s="15" t="s">
        <v>205</v>
      </c>
      <c r="C207" s="30" t="s">
        <v>205</v>
      </c>
      <c r="D207" s="16" t="s">
        <v>424</v>
      </c>
      <c r="E207" s="68" t="n">
        <f aca="false">2.51*2+1.74*2</f>
        <v>8.5</v>
      </c>
      <c r="F207" s="24" t="n">
        <v>1</v>
      </c>
      <c r="G207" s="12" t="n">
        <f aca="false">'Dups+ B&amp;B Rates'!$I$27</f>
        <v>4</v>
      </c>
      <c r="H207" s="22" t="n">
        <f aca="false">G207*F207*E207</f>
        <v>34</v>
      </c>
      <c r="I207" s="20"/>
      <c r="J207" s="26" t="s">
        <v>425</v>
      </c>
      <c r="K207" s="21" t="n">
        <f aca="false">G207</f>
        <v>4</v>
      </c>
      <c r="L207" s="3" t="n">
        <f aca="false">K207*F207*E207</f>
        <v>34</v>
      </c>
    </row>
    <row r="208" customFormat="false" ht="15" hidden="false" customHeight="true" outlineLevel="0" collapsed="false">
      <c r="A208" s="15" t="s">
        <v>25</v>
      </c>
      <c r="B208" s="15" t="s">
        <v>570</v>
      </c>
      <c r="C208" s="30" t="s">
        <v>261</v>
      </c>
      <c r="D208" s="16" t="s">
        <v>157</v>
      </c>
      <c r="E208" s="68"/>
      <c r="F208" s="24" t="n">
        <v>1</v>
      </c>
      <c r="G208" s="12"/>
      <c r="H208" s="22"/>
      <c r="I208" s="20"/>
      <c r="J208" s="1" t="s">
        <v>456</v>
      </c>
    </row>
    <row r="209" customFormat="false" ht="15" hidden="false" customHeight="true" outlineLevel="0" collapsed="false">
      <c r="A209" s="15" t="s">
        <v>25</v>
      </c>
      <c r="B209" s="15" t="s">
        <v>207</v>
      </c>
      <c r="C209" s="30" t="s">
        <v>207</v>
      </c>
      <c r="D209" s="16" t="s">
        <v>424</v>
      </c>
      <c r="E209" s="68" t="n">
        <f aca="false">2.5*2.86</f>
        <v>7.15</v>
      </c>
      <c r="F209" s="24" t="n">
        <v>1</v>
      </c>
      <c r="G209" s="12" t="n">
        <f aca="false">'Dups+ B&amp;B Rates'!$I$28</f>
        <v>3</v>
      </c>
      <c r="H209" s="22" t="n">
        <f aca="false">G209*F209*E209</f>
        <v>21.45</v>
      </c>
      <c r="I209" s="20"/>
      <c r="J209" s="26" t="s">
        <v>425</v>
      </c>
      <c r="K209" s="21" t="n">
        <f aca="false">G209</f>
        <v>3</v>
      </c>
      <c r="L209" s="3" t="n">
        <f aca="false">K209*F209*E209</f>
        <v>21.45</v>
      </c>
    </row>
    <row r="210" customFormat="false" ht="15" hidden="false" customHeight="true" outlineLevel="0" collapsed="false">
      <c r="A210" s="15" t="s">
        <v>25</v>
      </c>
      <c r="B210" s="15" t="s">
        <v>496</v>
      </c>
      <c r="C210" s="15" t="s">
        <v>172</v>
      </c>
      <c r="D210" s="16" t="s">
        <v>157</v>
      </c>
      <c r="E210" s="68" t="n">
        <v>19.8</v>
      </c>
      <c r="F210" s="24" t="n">
        <v>1</v>
      </c>
      <c r="G210" s="12" t="n">
        <f aca="false">'Dups+ B&amp;B Rates'!$I$3</f>
        <v>0.5</v>
      </c>
      <c r="H210" s="22" t="n">
        <f aca="false">G210*F210*E210</f>
        <v>9.9</v>
      </c>
      <c r="I210" s="20"/>
      <c r="K210" s="23" t="n">
        <f aca="false">Рынок!$D$3</f>
        <v>0.665291730423791</v>
      </c>
      <c r="L210" s="3" t="n">
        <f aca="false">K210*F210*E210</f>
        <v>13.1727762623911</v>
      </c>
    </row>
    <row r="211" customFormat="false" ht="15" hidden="false" customHeight="true" outlineLevel="0" collapsed="false">
      <c r="A211" s="15" t="s">
        <v>25</v>
      </c>
      <c r="B211" s="15" t="s">
        <v>444</v>
      </c>
      <c r="C211" s="15" t="s">
        <v>187</v>
      </c>
      <c r="D211" s="16" t="s">
        <v>157</v>
      </c>
      <c r="E211" s="68" t="n">
        <v>8.9</v>
      </c>
      <c r="F211" s="24" t="n">
        <v>1</v>
      </c>
      <c r="G211" s="12" t="n">
        <f aca="false">'Dups+ B&amp;B Rates'!$I$3</f>
        <v>0.5</v>
      </c>
      <c r="H211" s="22" t="n">
        <f aca="false">G211*F211*E211</f>
        <v>4.45</v>
      </c>
      <c r="I211" s="20"/>
      <c r="K211" s="23" t="n">
        <f aca="false">Рынок!$D$3</f>
        <v>0.665291730423791</v>
      </c>
      <c r="L211" s="3" t="n">
        <f aca="false">K211*F211*E211</f>
        <v>5.92109640077174</v>
      </c>
    </row>
    <row r="212" customFormat="false" ht="15" hidden="false" customHeight="true" outlineLevel="0" collapsed="false">
      <c r="A212" s="15" t="s">
        <v>25</v>
      </c>
      <c r="B212" s="15" t="s">
        <v>175</v>
      </c>
      <c r="C212" s="30" t="s">
        <v>175</v>
      </c>
      <c r="D212" s="16" t="s">
        <v>157</v>
      </c>
      <c r="E212" s="68" t="n">
        <f aca="false">0.77*2.23+1.74*4.15</f>
        <v>8.9381</v>
      </c>
      <c r="F212" s="24" t="n">
        <v>2</v>
      </c>
      <c r="G212" s="12" t="n">
        <f aca="false">'Dups+ B&amp;B Rates'!$I$17</f>
        <v>1.5</v>
      </c>
      <c r="H212" s="22" t="n">
        <f aca="false">G212*F212*E212</f>
        <v>26.8143</v>
      </c>
      <c r="I212" s="20"/>
      <c r="K212" s="21" t="n">
        <f aca="false">G212</f>
        <v>1.5</v>
      </c>
      <c r="L212" s="3" t="n">
        <f aca="false">K212*F212*E212</f>
        <v>26.8143</v>
      </c>
    </row>
    <row r="213" customFormat="false" ht="15" hidden="false" customHeight="true" outlineLevel="0" collapsed="false">
      <c r="A213" s="15" t="s">
        <v>25</v>
      </c>
      <c r="B213" s="15" t="s">
        <v>174</v>
      </c>
      <c r="C213" s="30" t="s">
        <v>174</v>
      </c>
      <c r="D213" s="16" t="s">
        <v>157</v>
      </c>
      <c r="E213" s="68" t="n">
        <f aca="false">1.93*2.86+0.83*2.86*2+0.27*2.86+1.91*2.86+0.66*2.86+0.83*0.9+1.39*0.45</f>
        <v>19.7623</v>
      </c>
      <c r="F213" s="24" t="n">
        <v>2</v>
      </c>
      <c r="G213" s="12" t="n">
        <f aca="false">'Dups+ B&amp;B Rates'!$I$18</f>
        <v>1</v>
      </c>
      <c r="H213" s="22" t="n">
        <f aca="false">G213*F213*E213</f>
        <v>39.5246</v>
      </c>
      <c r="I213" s="20"/>
      <c r="K213" s="21" t="n">
        <f aca="false">G213</f>
        <v>1</v>
      </c>
      <c r="L213" s="3" t="n">
        <f aca="false">K213*F213*E213</f>
        <v>39.5246</v>
      </c>
    </row>
    <row r="214" customFormat="false" ht="15" hidden="false" customHeight="true" outlineLevel="0" collapsed="false">
      <c r="A214" s="15" t="s">
        <v>25</v>
      </c>
      <c r="B214" s="15" t="s">
        <v>170</v>
      </c>
      <c r="C214" s="30" t="s">
        <v>170</v>
      </c>
      <c r="D214" s="16" t="s">
        <v>424</v>
      </c>
      <c r="E214" s="68" t="n">
        <f aca="false">2.86*2+2.68</f>
        <v>8.4</v>
      </c>
      <c r="F214" s="24" t="n">
        <v>1</v>
      </c>
      <c r="G214" s="12" t="n">
        <f aca="false">'Dups+ B&amp;B Rates'!$I$22</f>
        <v>2.5</v>
      </c>
      <c r="H214" s="22" t="n">
        <f aca="false">G214*F214*E214</f>
        <v>21</v>
      </c>
      <c r="I214" s="20"/>
      <c r="K214" s="21" t="n">
        <f aca="false">G214</f>
        <v>2.5</v>
      </c>
      <c r="L214" s="3" t="n">
        <f aca="false">K214*F214*E214</f>
        <v>21</v>
      </c>
    </row>
    <row r="215" customFormat="false" ht="15" hidden="false" customHeight="true" outlineLevel="0" collapsed="false">
      <c r="A215" s="15" t="s">
        <v>25</v>
      </c>
      <c r="B215" s="15" t="s">
        <v>561</v>
      </c>
      <c r="C215" s="30" t="s">
        <v>307</v>
      </c>
      <c r="D215" s="16" t="s">
        <v>424</v>
      </c>
      <c r="E215" s="68" t="n">
        <v>2.86</v>
      </c>
      <c r="F215" s="24" t="n">
        <v>1</v>
      </c>
      <c r="G215" s="12" t="n">
        <f aca="false">'Dups+ B&amp;B Rates'!$I$19</f>
        <v>2</v>
      </c>
      <c r="H215" s="22" t="n">
        <f aca="false">G215*F215*E215</f>
        <v>5.72</v>
      </c>
      <c r="I215" s="20"/>
      <c r="K215" s="21" t="n">
        <f aca="false">G215</f>
        <v>2</v>
      </c>
      <c r="L215" s="3" t="n">
        <f aca="false">K215*F215*E215</f>
        <v>5.72</v>
      </c>
    </row>
    <row r="216" customFormat="false" ht="15" hidden="false" customHeight="true" outlineLevel="0" collapsed="false">
      <c r="A216" s="15" t="s">
        <v>25</v>
      </c>
      <c r="B216" s="15" t="s">
        <v>322</v>
      </c>
      <c r="C216" s="30" t="s">
        <v>322</v>
      </c>
      <c r="D216" s="34" t="s">
        <v>424</v>
      </c>
      <c r="E216" s="70" t="n">
        <f aca="false">0.9+2.03*2</f>
        <v>4.96</v>
      </c>
      <c r="F216" s="24" t="n">
        <v>1</v>
      </c>
      <c r="G216" s="12" t="n">
        <f aca="false">'Dups+ B&amp;B Rates'!$I$29</f>
        <v>6</v>
      </c>
      <c r="H216" s="22" t="n">
        <f aca="false">G216*F216*E216</f>
        <v>29.76</v>
      </c>
      <c r="I216" s="20"/>
      <c r="J216" s="26" t="s">
        <v>571</v>
      </c>
      <c r="K216" s="21" t="n">
        <f aca="false">G216</f>
        <v>6</v>
      </c>
      <c r="L216" s="3" t="n">
        <f aca="false">K216*F216*E216</f>
        <v>29.76</v>
      </c>
    </row>
    <row r="217" customFormat="false" ht="15" hidden="false" customHeight="true" outlineLevel="0" collapsed="false">
      <c r="A217" s="15" t="s">
        <v>25</v>
      </c>
      <c r="B217" s="15" t="s">
        <v>572</v>
      </c>
      <c r="C217" s="30" t="s">
        <v>324</v>
      </c>
      <c r="D217" s="34" t="s">
        <v>424</v>
      </c>
      <c r="E217" s="70" t="n">
        <f aca="false">1.39+2.43*2</f>
        <v>6.25</v>
      </c>
      <c r="F217" s="24" t="n">
        <v>1</v>
      </c>
      <c r="G217" s="12" t="n">
        <f aca="false">'Dups+ B&amp;B Rates'!$I$29</f>
        <v>6</v>
      </c>
      <c r="H217" s="22" t="n">
        <f aca="false">G217*F217*E217</f>
        <v>37.5</v>
      </c>
      <c r="I217" s="20"/>
      <c r="J217" s="26" t="s">
        <v>571</v>
      </c>
      <c r="K217" s="21" t="n">
        <f aca="false">G217</f>
        <v>6</v>
      </c>
      <c r="L217" s="3" t="n">
        <f aca="false">K217*F217*E217</f>
        <v>37.5</v>
      </c>
    </row>
    <row r="218" customFormat="false" ht="15" hidden="false" customHeight="true" outlineLevel="0" collapsed="false">
      <c r="A218" s="15" t="s">
        <v>26</v>
      </c>
      <c r="B218" s="15" t="s">
        <v>573</v>
      </c>
      <c r="C218" s="30" t="s">
        <v>261</v>
      </c>
      <c r="D218" s="16" t="s">
        <v>157</v>
      </c>
      <c r="E218" s="68" t="n">
        <f aca="false">0.18*2.08+0.46*2.13+0.21*2.13</f>
        <v>1.8015</v>
      </c>
      <c r="F218" s="24" t="n">
        <v>1</v>
      </c>
      <c r="G218" s="12" t="n">
        <f aca="false">'Dups+ B&amp;B Rates'!$I$9</f>
        <v>9</v>
      </c>
      <c r="H218" s="22" t="n">
        <f aca="false">G218*F218*E218</f>
        <v>16.2135</v>
      </c>
      <c r="I218" s="20"/>
      <c r="K218" s="23" t="n">
        <f aca="false">Рынок!$D$9</f>
        <v>10.6446676867807</v>
      </c>
      <c r="L218" s="3" t="n">
        <f aca="false">K218*F218*E218</f>
        <v>19.1763688377353</v>
      </c>
    </row>
    <row r="219" customFormat="false" ht="15" hidden="false" customHeight="true" outlineLevel="0" collapsed="false">
      <c r="A219" s="15" t="s">
        <v>26</v>
      </c>
      <c r="B219" s="15" t="s">
        <v>337</v>
      </c>
      <c r="C219" s="30" t="s">
        <v>316</v>
      </c>
      <c r="D219" s="16" t="s">
        <v>157</v>
      </c>
      <c r="E219" s="68" t="n">
        <v>1.8</v>
      </c>
      <c r="F219" s="24" t="n">
        <v>1</v>
      </c>
      <c r="G219" s="12" t="n">
        <f aca="false">'Dups+ B&amp;B Rates'!$I$3</f>
        <v>0.5</v>
      </c>
      <c r="H219" s="22" t="n">
        <f aca="false">G219*F219*E219</f>
        <v>0.9</v>
      </c>
      <c r="I219" s="20"/>
      <c r="K219" s="23" t="n">
        <f aca="false">Рынок!$D$3</f>
        <v>0.665291730423791</v>
      </c>
      <c r="L219" s="3" t="n">
        <f aca="false">K219*F219*E219</f>
        <v>1.19752511476282</v>
      </c>
    </row>
    <row r="220" customFormat="false" ht="15" hidden="false" customHeight="true" outlineLevel="0" collapsed="false">
      <c r="A220" s="15" t="s">
        <v>26</v>
      </c>
      <c r="B220" s="15" t="s">
        <v>317</v>
      </c>
      <c r="C220" s="30" t="s">
        <v>317</v>
      </c>
      <c r="D220" s="16" t="s">
        <v>157</v>
      </c>
      <c r="E220" s="68" t="n">
        <v>1.8</v>
      </c>
      <c r="F220" s="24" t="n">
        <v>2</v>
      </c>
      <c r="G220" s="12" t="n">
        <f aca="false">'Dups+ B&amp;B Rates'!$I$18</f>
        <v>1</v>
      </c>
      <c r="H220" s="22" t="n">
        <f aca="false">G220*F220*E220</f>
        <v>3.6</v>
      </c>
      <c r="I220" s="20"/>
      <c r="K220" s="21" t="n">
        <f aca="false">G220</f>
        <v>1</v>
      </c>
      <c r="L220" s="3" t="n">
        <f aca="false">K220*F220*E220</f>
        <v>3.6</v>
      </c>
    </row>
    <row r="221" customFormat="false" ht="15" hidden="false" customHeight="true" outlineLevel="0" collapsed="false">
      <c r="A221" s="42" t="s">
        <v>26</v>
      </c>
      <c r="B221" s="42" t="s">
        <v>209</v>
      </c>
      <c r="C221" s="77" t="s">
        <v>209</v>
      </c>
      <c r="D221" s="78" t="s">
        <v>574</v>
      </c>
      <c r="E221" s="68"/>
      <c r="F221" s="24" t="n">
        <v>1</v>
      </c>
      <c r="G221" s="12"/>
      <c r="H221" s="22"/>
      <c r="I221" s="20"/>
      <c r="J221" s="1" t="s">
        <v>456</v>
      </c>
    </row>
    <row r="222" customFormat="false" ht="15" hidden="false" customHeight="true" outlineLevel="0" collapsed="false">
      <c r="A222" s="42" t="s">
        <v>26</v>
      </c>
      <c r="B222" s="42" t="s">
        <v>170</v>
      </c>
      <c r="C222" s="77" t="s">
        <v>170</v>
      </c>
      <c r="D222" s="78" t="s">
        <v>574</v>
      </c>
      <c r="E222" s="68"/>
      <c r="F222" s="24" t="n">
        <v>1</v>
      </c>
      <c r="G222" s="12"/>
      <c r="H222" s="22"/>
      <c r="I222" s="20"/>
      <c r="J222" s="1" t="s">
        <v>456</v>
      </c>
    </row>
    <row r="223" customFormat="false" ht="15" hidden="false" customHeight="true" outlineLevel="0" collapsed="false">
      <c r="A223" s="42" t="s">
        <v>26</v>
      </c>
      <c r="B223" s="42" t="s">
        <v>307</v>
      </c>
      <c r="C223" s="77" t="s">
        <v>575</v>
      </c>
      <c r="D223" s="78" t="s">
        <v>574</v>
      </c>
      <c r="E223" s="68"/>
      <c r="F223" s="24" t="n">
        <v>1</v>
      </c>
      <c r="G223" s="12"/>
      <c r="H223" s="22"/>
      <c r="I223" s="20"/>
      <c r="J223" s="1" t="s">
        <v>456</v>
      </c>
    </row>
    <row r="224" customFormat="false" ht="15" hidden="false" customHeight="true" outlineLevel="0" collapsed="false">
      <c r="A224" s="15" t="s">
        <v>25</v>
      </c>
      <c r="B224" s="15" t="s">
        <v>480</v>
      </c>
      <c r="C224" s="30" t="s">
        <v>481</v>
      </c>
      <c r="D224" s="16" t="s">
        <v>424</v>
      </c>
      <c r="E224" s="68" t="n">
        <v>4</v>
      </c>
      <c r="F224" s="24" t="n">
        <v>1</v>
      </c>
      <c r="G224" s="27"/>
      <c r="H224" s="28"/>
      <c r="I224" s="20"/>
      <c r="J224" s="1" t="s">
        <v>482</v>
      </c>
    </row>
    <row r="225" customFormat="false" ht="15" hidden="false" customHeight="true" outlineLevel="0" collapsed="false">
      <c r="A225" s="15" t="s">
        <v>25</v>
      </c>
      <c r="B225" s="15" t="s">
        <v>497</v>
      </c>
      <c r="C225" s="30" t="s">
        <v>497</v>
      </c>
      <c r="D225" s="16" t="s">
        <v>436</v>
      </c>
      <c r="E225" s="79" t="n">
        <v>2</v>
      </c>
      <c r="F225" s="24" t="n">
        <v>1</v>
      </c>
      <c r="G225" s="27"/>
      <c r="H225" s="28"/>
      <c r="I225" s="20"/>
      <c r="J225" s="1" t="s">
        <v>498</v>
      </c>
    </row>
    <row r="226" customFormat="false" ht="15" hidden="false" customHeight="true" outlineLevel="0" collapsed="false">
      <c r="A226" s="32"/>
      <c r="B226" s="80"/>
      <c r="C226" s="32"/>
      <c r="D226" s="34"/>
      <c r="E226" s="81"/>
      <c r="F226" s="36" t="n">
        <v>1</v>
      </c>
      <c r="G226" s="37"/>
      <c r="H226" s="38"/>
      <c r="I226" s="39"/>
    </row>
    <row r="227" customFormat="false" ht="45" hidden="false" customHeight="true" outlineLevel="0" collapsed="false">
      <c r="A227" s="32" t="s">
        <v>27</v>
      </c>
      <c r="B227" s="80" t="s">
        <v>576</v>
      </c>
      <c r="C227" s="32" t="s">
        <v>161</v>
      </c>
      <c r="D227" s="34" t="s">
        <v>157</v>
      </c>
      <c r="E227" s="81" t="n">
        <f aca="false">0.3*2.3*2+0.47*2.3</f>
        <v>2.461</v>
      </c>
      <c r="F227" s="36" t="n">
        <v>1</v>
      </c>
      <c r="G227" s="37" t="n">
        <f aca="false">'Dups+ B&amp;B Rates'!$I$9</f>
        <v>9</v>
      </c>
      <c r="H227" s="38" t="n">
        <f aca="false">G227*F227*E227</f>
        <v>22.149</v>
      </c>
      <c r="I227" s="39"/>
      <c r="K227" s="23" t="n">
        <f aca="false">Рынок!$D$9</f>
        <v>10.6446676867807</v>
      </c>
      <c r="L227" s="3" t="n">
        <f aca="false">K227*F227*E227</f>
        <v>26.1965271771672</v>
      </c>
    </row>
    <row r="228" customFormat="false" ht="45" hidden="false" customHeight="true" outlineLevel="0" collapsed="false">
      <c r="A228" s="32" t="s">
        <v>27</v>
      </c>
      <c r="B228" s="80" t="s">
        <v>577</v>
      </c>
      <c r="C228" s="32" t="s">
        <v>161</v>
      </c>
      <c r="D228" s="34" t="s">
        <v>157</v>
      </c>
      <c r="E228" s="81" t="n">
        <f aca="false">0.3*2.3*2+0.47*2.3</f>
        <v>2.461</v>
      </c>
      <c r="F228" s="36" t="n">
        <v>1</v>
      </c>
      <c r="G228" s="37" t="n">
        <f aca="false">'Dups+ B&amp;B Rates'!$I$9</f>
        <v>9</v>
      </c>
      <c r="H228" s="38" t="n">
        <f aca="false">G228*F228*E228</f>
        <v>22.149</v>
      </c>
      <c r="I228" s="39"/>
      <c r="K228" s="23" t="n">
        <f aca="false">Рынок!$D$9</f>
        <v>10.6446676867807</v>
      </c>
      <c r="L228" s="3" t="n">
        <f aca="false">K228*F228*E228</f>
        <v>26.1965271771672</v>
      </c>
    </row>
    <row r="229" customFormat="false" ht="15" hidden="false" customHeight="true" outlineLevel="0" collapsed="false">
      <c r="A229" s="32" t="s">
        <v>27</v>
      </c>
      <c r="B229" s="15" t="s">
        <v>422</v>
      </c>
      <c r="C229" s="15" t="s">
        <v>249</v>
      </c>
      <c r="D229" s="16" t="s">
        <v>157</v>
      </c>
      <c r="E229" s="68"/>
      <c r="F229" s="24" t="n">
        <v>1</v>
      </c>
      <c r="G229" s="12"/>
      <c r="H229" s="22"/>
      <c r="I229" s="20"/>
      <c r="J229" s="1" t="s">
        <v>456</v>
      </c>
    </row>
    <row r="230" customFormat="false" ht="15" hidden="false" customHeight="true" outlineLevel="0" collapsed="false">
      <c r="A230" s="15" t="s">
        <v>27</v>
      </c>
      <c r="B230" s="15" t="s">
        <v>205</v>
      </c>
      <c r="C230" s="30" t="s">
        <v>205</v>
      </c>
      <c r="D230" s="16" t="s">
        <v>424</v>
      </c>
      <c r="E230" s="82" t="n">
        <f aca="false">1.06*6</f>
        <v>6.36</v>
      </c>
      <c r="F230" s="24" t="n">
        <v>1</v>
      </c>
      <c r="G230" s="12" t="n">
        <f aca="false">'Dups+ B&amp;B Rates'!$I$27</f>
        <v>4</v>
      </c>
      <c r="H230" s="22" t="n">
        <f aca="false">G230*F230*E230</f>
        <v>25.44</v>
      </c>
      <c r="I230" s="20"/>
      <c r="J230" s="26" t="s">
        <v>425</v>
      </c>
      <c r="K230" s="21" t="n">
        <f aca="false">G230</f>
        <v>4</v>
      </c>
      <c r="L230" s="3" t="n">
        <f aca="false">K230*F230*E230</f>
        <v>25.44</v>
      </c>
    </row>
    <row r="231" customFormat="false" ht="15" hidden="false" customHeight="true" outlineLevel="0" collapsed="false">
      <c r="A231" s="15" t="s">
        <v>27</v>
      </c>
      <c r="B231" s="15" t="s">
        <v>207</v>
      </c>
      <c r="C231" s="68" t="s">
        <v>207</v>
      </c>
      <c r="D231" s="16" t="s">
        <v>424</v>
      </c>
      <c r="E231" s="82" t="n">
        <f aca="false">4*2.9</f>
        <v>11.6</v>
      </c>
      <c r="F231" s="24" t="n">
        <v>1</v>
      </c>
      <c r="G231" s="12" t="n">
        <f aca="false">'Dups+ B&amp;B Rates'!$I$28</f>
        <v>3</v>
      </c>
      <c r="H231" s="22" t="n">
        <f aca="false">G231*F231*E231</f>
        <v>34.8</v>
      </c>
      <c r="I231" s="20"/>
      <c r="J231" s="26" t="s">
        <v>425</v>
      </c>
      <c r="K231" s="21" t="n">
        <f aca="false">G231</f>
        <v>3</v>
      </c>
      <c r="L231" s="3" t="n">
        <f aca="false">K231*F231*E231</f>
        <v>34.8</v>
      </c>
    </row>
    <row r="232" customFormat="false" ht="15" hidden="false" customHeight="true" outlineLevel="0" collapsed="false">
      <c r="A232" s="15" t="s">
        <v>27</v>
      </c>
      <c r="B232" s="15" t="s">
        <v>578</v>
      </c>
      <c r="C232" s="30" t="s">
        <v>207</v>
      </c>
      <c r="D232" s="16" t="s">
        <v>157</v>
      </c>
      <c r="E232" s="68" t="n">
        <v>1</v>
      </c>
      <c r="F232" s="24" t="n">
        <v>1</v>
      </c>
      <c r="G232" s="12" t="n">
        <f aca="false">'Dups+ B&amp;B Rates'!$I$28</f>
        <v>3</v>
      </c>
      <c r="H232" s="22" t="n">
        <f aca="false">G232*F232*E232</f>
        <v>3</v>
      </c>
      <c r="I232" s="20"/>
      <c r="K232" s="21" t="n">
        <f aca="false">G232</f>
        <v>3</v>
      </c>
      <c r="L232" s="3" t="n">
        <f aca="false">K232*F232*E232</f>
        <v>3</v>
      </c>
    </row>
    <row r="233" customFormat="false" ht="15" hidden="false" customHeight="true" outlineLevel="0" collapsed="false">
      <c r="A233" s="15" t="s">
        <v>27</v>
      </c>
      <c r="B233" s="15" t="s">
        <v>444</v>
      </c>
      <c r="C233" s="15" t="s">
        <v>187</v>
      </c>
      <c r="D233" s="16" t="s">
        <v>157</v>
      </c>
      <c r="E233" s="68"/>
      <c r="F233" s="24" t="n">
        <v>1</v>
      </c>
      <c r="G233" s="12"/>
      <c r="H233" s="22"/>
      <c r="I233" s="20"/>
      <c r="J233" s="1" t="s">
        <v>456</v>
      </c>
    </row>
    <row r="234" customFormat="false" ht="15" hidden="false" customHeight="true" outlineLevel="0" collapsed="false">
      <c r="A234" s="15" t="s">
        <v>27</v>
      </c>
      <c r="B234" s="15" t="s">
        <v>175</v>
      </c>
      <c r="C234" s="30" t="s">
        <v>175</v>
      </c>
      <c r="D234" s="16" t="s">
        <v>157</v>
      </c>
      <c r="E234" s="68"/>
      <c r="F234" s="24" t="n">
        <v>2</v>
      </c>
      <c r="G234" s="12"/>
      <c r="H234" s="22"/>
      <c r="I234" s="20"/>
      <c r="J234" s="1" t="s">
        <v>456</v>
      </c>
    </row>
    <row r="235" customFormat="false" ht="15" hidden="false" customHeight="true" outlineLevel="0" collapsed="false">
      <c r="A235" s="15" t="s">
        <v>27</v>
      </c>
      <c r="B235" s="15" t="s">
        <v>174</v>
      </c>
      <c r="C235" s="30" t="s">
        <v>174</v>
      </c>
      <c r="D235" s="16" t="s">
        <v>157</v>
      </c>
      <c r="E235" s="35" t="n">
        <f aca="false">4.62*2.9+0.1*2.9+0.87*0.85+1.07*2.9+2.48*2.9+3.2*2.9+0.84*0.51/2-0.84*2.08-0.7*2.04-0.8*2.04</f>
        <v>29.4095</v>
      </c>
      <c r="F235" s="24" t="n">
        <v>2</v>
      </c>
      <c r="G235" s="12" t="n">
        <f aca="false">'Dups+ B&amp;B Rates'!$I$18</f>
        <v>1</v>
      </c>
      <c r="H235" s="22" t="n">
        <f aca="false">G235*F235*E235</f>
        <v>58.819</v>
      </c>
      <c r="I235" s="20"/>
      <c r="K235" s="21" t="n">
        <f aca="false">G235</f>
        <v>1</v>
      </c>
      <c r="L235" s="3" t="n">
        <f aca="false">K235*F235*E235</f>
        <v>58.819</v>
      </c>
    </row>
    <row r="236" customFormat="false" ht="15" hidden="false" customHeight="true" outlineLevel="0" collapsed="false">
      <c r="A236" s="15" t="s">
        <v>27</v>
      </c>
      <c r="B236" s="15" t="s">
        <v>579</v>
      </c>
      <c r="C236" s="30" t="s">
        <v>258</v>
      </c>
      <c r="D236" s="16" t="s">
        <v>424</v>
      </c>
      <c r="E236" s="82" t="n">
        <f aca="false">0.84+2.08*2</f>
        <v>5</v>
      </c>
      <c r="F236" s="24" t="n">
        <v>1</v>
      </c>
      <c r="G236" s="12" t="n">
        <f aca="false">'Dups+ B&amp;B Rates'!$I$12</f>
        <v>10</v>
      </c>
      <c r="H236" s="22" t="n">
        <f aca="false">G236*F236*E236</f>
        <v>50</v>
      </c>
      <c r="I236" s="20"/>
      <c r="J236" s="26" t="s">
        <v>571</v>
      </c>
      <c r="K236" s="21" t="n">
        <f aca="false">G236</f>
        <v>10</v>
      </c>
      <c r="L236" s="3" t="n">
        <f aca="false">K236*F236*E236</f>
        <v>50</v>
      </c>
    </row>
    <row r="237" customFormat="false" ht="15" hidden="false" customHeight="true" outlineLevel="0" collapsed="false">
      <c r="A237" s="15" t="s">
        <v>27</v>
      </c>
      <c r="B237" s="15" t="s">
        <v>170</v>
      </c>
      <c r="C237" s="30" t="s">
        <v>170</v>
      </c>
      <c r="D237" s="16" t="s">
        <v>424</v>
      </c>
      <c r="E237" s="82" t="n">
        <f aca="false">3.59+2.68+2.68+2.7+2.7+1.74+2.14+2.09</f>
        <v>20.32</v>
      </c>
      <c r="F237" s="24" t="n">
        <v>1</v>
      </c>
      <c r="G237" s="12" t="n">
        <f aca="false">'Dups+ B&amp;B Rates'!$I$22</f>
        <v>2.5</v>
      </c>
      <c r="H237" s="22" t="n">
        <f aca="false">G237*F237*E237</f>
        <v>50.8</v>
      </c>
      <c r="I237" s="20"/>
      <c r="K237" s="21" t="n">
        <f aca="false">G237</f>
        <v>2.5</v>
      </c>
      <c r="L237" s="3" t="n">
        <f aca="false">K237*F237*E237</f>
        <v>50.8</v>
      </c>
    </row>
    <row r="238" customFormat="false" ht="15" hidden="false" customHeight="true" outlineLevel="0" collapsed="false">
      <c r="A238" s="15" t="s">
        <v>27</v>
      </c>
      <c r="B238" s="15" t="s">
        <v>561</v>
      </c>
      <c r="C238" s="30" t="s">
        <v>307</v>
      </c>
      <c r="D238" s="16" t="s">
        <v>424</v>
      </c>
      <c r="E238" s="82" t="n">
        <f aca="false">2.9+2.9+2.86+2.68</f>
        <v>11.34</v>
      </c>
      <c r="F238" s="24" t="n">
        <v>1</v>
      </c>
      <c r="G238" s="12" t="n">
        <f aca="false">'Dups+ B&amp;B Rates'!$I$19</f>
        <v>2</v>
      </c>
      <c r="H238" s="22" t="n">
        <f aca="false">G238*F238*E238</f>
        <v>22.68</v>
      </c>
      <c r="I238" s="20"/>
      <c r="K238" s="21" t="n">
        <f aca="false">G238</f>
        <v>2</v>
      </c>
      <c r="L238" s="3" t="n">
        <f aca="false">K238*F238*E238</f>
        <v>22.68</v>
      </c>
    </row>
    <row r="239" customFormat="false" ht="15" hidden="false" customHeight="true" outlineLevel="0" collapsed="false">
      <c r="A239" s="15" t="s">
        <v>27</v>
      </c>
      <c r="B239" s="15" t="s">
        <v>580</v>
      </c>
      <c r="C239" s="30" t="s">
        <v>231</v>
      </c>
      <c r="D239" s="16" t="s">
        <v>157</v>
      </c>
      <c r="E239" s="68" t="n">
        <v>2</v>
      </c>
      <c r="F239" s="24" t="n">
        <v>1</v>
      </c>
      <c r="G239" s="12" t="n">
        <f aca="false">'Dups+ B&amp;B Rates'!$I$28</f>
        <v>3</v>
      </c>
      <c r="H239" s="22" t="n">
        <f aca="false">G239*F239*E239</f>
        <v>6</v>
      </c>
      <c r="I239" s="20"/>
      <c r="K239" s="21" t="n">
        <f aca="false">G239</f>
        <v>3</v>
      </c>
      <c r="L239" s="3" t="n">
        <f aca="false">K239*F239*E239</f>
        <v>6</v>
      </c>
    </row>
    <row r="240" customFormat="false" ht="15" hidden="false" customHeight="true" outlineLevel="0" collapsed="false">
      <c r="A240" s="15" t="s">
        <v>27</v>
      </c>
      <c r="B240" s="15" t="s">
        <v>581</v>
      </c>
      <c r="C240" s="15" t="s">
        <v>172</v>
      </c>
      <c r="D240" s="16" t="s">
        <v>157</v>
      </c>
      <c r="E240" s="82" t="n">
        <v>29.4</v>
      </c>
      <c r="F240" s="24" t="n">
        <v>1</v>
      </c>
      <c r="G240" s="12" t="n">
        <f aca="false">'Dups+ B&amp;B Rates'!$I$3</f>
        <v>0.5</v>
      </c>
      <c r="H240" s="22" t="n">
        <f aca="false">G240*F240*E240</f>
        <v>14.7</v>
      </c>
      <c r="I240" s="20"/>
      <c r="K240" s="23" t="n">
        <f aca="false">Рынок!$D$3</f>
        <v>0.665291730423791</v>
      </c>
      <c r="L240" s="3" t="n">
        <f aca="false">K240*F240*E240</f>
        <v>19.5595768744595</v>
      </c>
    </row>
    <row r="241" customFormat="false" ht="15" hidden="false" customHeight="true" outlineLevel="0" collapsed="false">
      <c r="A241" s="15" t="s">
        <v>28</v>
      </c>
      <c r="B241" s="15" t="s">
        <v>582</v>
      </c>
      <c r="C241" s="30" t="s">
        <v>335</v>
      </c>
      <c r="D241" s="16" t="s">
        <v>157</v>
      </c>
      <c r="E241" s="82" t="n">
        <f aca="false">(0.19+0.5+0.17)*1.74</f>
        <v>1.4964</v>
      </c>
      <c r="F241" s="24" t="n">
        <v>1</v>
      </c>
      <c r="G241" s="12" t="n">
        <f aca="false">'Dups+ B&amp;B Rates'!$I$26</f>
        <v>6.5</v>
      </c>
      <c r="H241" s="22" t="n">
        <f aca="false">G241*F241*E241</f>
        <v>9.7266</v>
      </c>
      <c r="I241" s="20"/>
      <c r="J241" s="26" t="s">
        <v>466</v>
      </c>
      <c r="K241" s="23" t="n">
        <f aca="false">Рынок!$D$7</f>
        <v>8.31614663029739</v>
      </c>
      <c r="L241" s="3" t="n">
        <f aca="false">K241*F241*E241</f>
        <v>12.444281817577</v>
      </c>
    </row>
    <row r="242" customFormat="false" ht="15" hidden="false" customHeight="true" outlineLevel="0" collapsed="false">
      <c r="A242" s="15" t="s">
        <v>28</v>
      </c>
      <c r="B242" s="15" t="s">
        <v>337</v>
      </c>
      <c r="C242" s="30" t="s">
        <v>337</v>
      </c>
      <c r="D242" s="16" t="s">
        <v>157</v>
      </c>
      <c r="E242" s="82" t="n">
        <v>1.5</v>
      </c>
      <c r="F242" s="24" t="n">
        <v>1</v>
      </c>
      <c r="G242" s="12" t="n">
        <f aca="false">'Dups+ B&amp;B Rates'!$I$3</f>
        <v>0.5</v>
      </c>
      <c r="H242" s="22" t="n">
        <f aca="false">G242*F242*E242</f>
        <v>0.75</v>
      </c>
      <c r="I242" s="20"/>
      <c r="K242" s="23" t="n">
        <f aca="false">Рынок!$D$3</f>
        <v>0.665291730423791</v>
      </c>
      <c r="L242" s="3" t="n">
        <f aca="false">K242*F242*E242</f>
        <v>0.997937595635686</v>
      </c>
    </row>
    <row r="243" customFormat="false" ht="15" hidden="false" customHeight="true" outlineLevel="0" collapsed="false">
      <c r="A243" s="15" t="s">
        <v>28</v>
      </c>
      <c r="B243" s="15" t="s">
        <v>317</v>
      </c>
      <c r="C243" s="30" t="s">
        <v>317</v>
      </c>
      <c r="D243" s="16" t="s">
        <v>157</v>
      </c>
      <c r="E243" s="35" t="n">
        <v>1.5</v>
      </c>
      <c r="F243" s="24" t="n">
        <v>2</v>
      </c>
      <c r="G243" s="12" t="n">
        <f aca="false">'Dups+ B&amp;B Rates'!$I$18</f>
        <v>1</v>
      </c>
      <c r="H243" s="22" t="n">
        <f aca="false">G243*F243*E243</f>
        <v>3</v>
      </c>
      <c r="I243" s="20"/>
      <c r="K243" s="21" t="n">
        <f aca="false">G243</f>
        <v>1</v>
      </c>
      <c r="L243" s="3" t="n">
        <f aca="false">K243*F243*E243</f>
        <v>3</v>
      </c>
    </row>
    <row r="244" customFormat="false" ht="15" hidden="false" customHeight="true" outlineLevel="0" collapsed="false">
      <c r="A244" s="15" t="s">
        <v>28</v>
      </c>
      <c r="B244" s="15" t="s">
        <v>582</v>
      </c>
      <c r="C244" s="30" t="s">
        <v>307</v>
      </c>
      <c r="D244" s="16" t="s">
        <v>424</v>
      </c>
      <c r="E244" s="82" t="n">
        <f aca="false">0.67*2+1.74</f>
        <v>3.08</v>
      </c>
      <c r="F244" s="24" t="n">
        <v>1</v>
      </c>
      <c r="G244" s="12" t="n">
        <f aca="false">'Dups+ B&amp;B Rates'!$I$19</f>
        <v>2</v>
      </c>
      <c r="H244" s="22" t="n">
        <f aca="false">G244*F244*E244</f>
        <v>6.16</v>
      </c>
      <c r="I244" s="20"/>
      <c r="K244" s="21" t="n">
        <f aca="false">G244</f>
        <v>2</v>
      </c>
      <c r="L244" s="3" t="n">
        <f aca="false">K244*F244*E244</f>
        <v>6.16</v>
      </c>
    </row>
    <row r="245" customFormat="false" ht="15" hidden="false" customHeight="true" outlineLevel="0" collapsed="false">
      <c r="A245" s="15" t="s">
        <v>28</v>
      </c>
      <c r="B245" s="15" t="s">
        <v>582</v>
      </c>
      <c r="C245" s="30" t="s">
        <v>170</v>
      </c>
      <c r="D245" s="16" t="s">
        <v>424</v>
      </c>
      <c r="E245" s="82" t="n">
        <f aca="false">1.74*2</f>
        <v>3.48</v>
      </c>
      <c r="F245" s="24" t="n">
        <v>1</v>
      </c>
      <c r="G245" s="12" t="n">
        <f aca="false">'Dups+ B&amp;B Rates'!$I$22</f>
        <v>2.5</v>
      </c>
      <c r="H245" s="22" t="n">
        <f aca="false">G245*F245*E245</f>
        <v>8.7</v>
      </c>
      <c r="I245" s="20"/>
      <c r="K245" s="21" t="n">
        <f aca="false">G245</f>
        <v>2.5</v>
      </c>
      <c r="L245" s="3" t="n">
        <f aca="false">K245*F245*E245</f>
        <v>8.7</v>
      </c>
    </row>
    <row r="246" customFormat="false" ht="15" hidden="false" customHeight="true" outlineLevel="0" collapsed="false">
      <c r="A246" s="15" t="s">
        <v>27</v>
      </c>
      <c r="B246" s="15" t="s">
        <v>583</v>
      </c>
      <c r="C246" s="30"/>
      <c r="D246" s="16" t="s">
        <v>157</v>
      </c>
      <c r="E246" s="68" t="n">
        <v>1</v>
      </c>
      <c r="F246" s="24" t="n">
        <v>1</v>
      </c>
      <c r="G246" s="12"/>
      <c r="H246" s="22"/>
      <c r="I246" s="20"/>
      <c r="J246" s="1" t="s">
        <v>456</v>
      </c>
    </row>
    <row r="247" customFormat="false" ht="15" hidden="false" customHeight="true" outlineLevel="0" collapsed="false">
      <c r="A247" s="15" t="s">
        <v>27</v>
      </c>
      <c r="B247" s="15" t="s">
        <v>584</v>
      </c>
      <c r="C247" s="15" t="s">
        <v>486</v>
      </c>
      <c r="D247" s="16" t="s">
        <v>157</v>
      </c>
      <c r="E247" s="68" t="n">
        <v>1</v>
      </c>
      <c r="F247" s="24" t="n">
        <v>1</v>
      </c>
      <c r="G247" s="12" t="n">
        <f aca="false">'Dups+ B&amp;B Rates'!$I$34</f>
        <v>15</v>
      </c>
      <c r="H247" s="22" t="n">
        <f aca="false">G247*F247*E247</f>
        <v>15</v>
      </c>
      <c r="I247" s="20"/>
      <c r="K247" s="21" t="n">
        <f aca="false">G247</f>
        <v>15</v>
      </c>
      <c r="L247" s="3" t="n">
        <f aca="false">K247*F247*E247</f>
        <v>15</v>
      </c>
    </row>
    <row r="248" customFormat="false" ht="15" hidden="false" customHeight="true" outlineLevel="0" collapsed="false">
      <c r="A248" s="15" t="s">
        <v>29</v>
      </c>
      <c r="B248" s="15" t="s">
        <v>422</v>
      </c>
      <c r="C248" s="15" t="s">
        <v>249</v>
      </c>
      <c r="D248" s="16" t="s">
        <v>157</v>
      </c>
      <c r="E248" s="71"/>
      <c r="F248" s="24" t="n">
        <v>1</v>
      </c>
      <c r="G248" s="12"/>
      <c r="H248" s="22"/>
      <c r="I248" s="20"/>
      <c r="J248" s="1" t="s">
        <v>456</v>
      </c>
    </row>
    <row r="249" customFormat="false" ht="15" hidden="false" customHeight="true" outlineLevel="0" collapsed="false">
      <c r="A249" s="15" t="s">
        <v>29</v>
      </c>
      <c r="B249" s="15" t="s">
        <v>205</v>
      </c>
      <c r="C249" s="30" t="s">
        <v>205</v>
      </c>
      <c r="D249" s="16" t="s">
        <v>424</v>
      </c>
      <c r="E249" s="82" t="n">
        <v>2</v>
      </c>
      <c r="F249" s="24" t="n">
        <v>1</v>
      </c>
      <c r="G249" s="12" t="n">
        <f aca="false">'Dups+ B&amp;B Rates'!$I$27</f>
        <v>4</v>
      </c>
      <c r="H249" s="22" t="n">
        <f aca="false">G249*F249*E249</f>
        <v>8</v>
      </c>
      <c r="I249" s="20"/>
      <c r="J249" s="26" t="s">
        <v>425</v>
      </c>
      <c r="K249" s="21" t="n">
        <f aca="false">G249</f>
        <v>4</v>
      </c>
      <c r="L249" s="3" t="n">
        <f aca="false">K249*F249*E249</f>
        <v>8</v>
      </c>
    </row>
    <row r="250" customFormat="false" ht="15" hidden="false" customHeight="true" outlineLevel="0" collapsed="false">
      <c r="A250" s="15" t="s">
        <v>29</v>
      </c>
      <c r="B250" s="15" t="s">
        <v>496</v>
      </c>
      <c r="C250" s="15" t="s">
        <v>172</v>
      </c>
      <c r="D250" s="16" t="s">
        <v>157</v>
      </c>
      <c r="E250" s="82" t="n">
        <v>10.8</v>
      </c>
      <c r="F250" s="24" t="n">
        <v>1</v>
      </c>
      <c r="G250" s="12" t="n">
        <f aca="false">'Dups+ B&amp;B Rates'!$I$3</f>
        <v>0.5</v>
      </c>
      <c r="H250" s="22" t="n">
        <f aca="false">G250*F250*E250</f>
        <v>5.4</v>
      </c>
      <c r="I250" s="20"/>
      <c r="K250" s="23" t="n">
        <f aca="false">Рынок!$D$3</f>
        <v>0.665291730423791</v>
      </c>
      <c r="L250" s="3" t="n">
        <f aca="false">K250*F250*E250</f>
        <v>7.18515068857694</v>
      </c>
    </row>
    <row r="251" customFormat="false" ht="15" hidden="false" customHeight="true" outlineLevel="0" collapsed="false">
      <c r="A251" s="15" t="s">
        <v>29</v>
      </c>
      <c r="B251" s="15" t="s">
        <v>207</v>
      </c>
      <c r="C251" s="30" t="s">
        <v>207</v>
      </c>
      <c r="D251" s="16" t="s">
        <v>424</v>
      </c>
      <c r="E251" s="82" t="n">
        <f aca="false">1.5*2.8</f>
        <v>4.2</v>
      </c>
      <c r="F251" s="24" t="n">
        <v>1</v>
      </c>
      <c r="G251" s="12" t="n">
        <f aca="false">'Dups+ B&amp;B Rates'!$I$28</f>
        <v>3</v>
      </c>
      <c r="H251" s="22" t="n">
        <f aca="false">G251*F251*E251</f>
        <v>12.6</v>
      </c>
      <c r="I251" s="20"/>
      <c r="J251" s="26" t="s">
        <v>425</v>
      </c>
      <c r="K251" s="21" t="n">
        <f aca="false">G251</f>
        <v>3</v>
      </c>
      <c r="L251" s="3" t="n">
        <f aca="false">K251*F251*E251</f>
        <v>12.6</v>
      </c>
    </row>
    <row r="252" customFormat="false" ht="15" hidden="false" customHeight="true" outlineLevel="0" collapsed="false">
      <c r="A252" s="15" t="s">
        <v>29</v>
      </c>
      <c r="B252" s="15" t="s">
        <v>585</v>
      </c>
      <c r="C252" s="30" t="s">
        <v>343</v>
      </c>
      <c r="D252" s="16" t="s">
        <v>157</v>
      </c>
      <c r="E252" s="71" t="n">
        <f aca="false">E249</f>
        <v>2</v>
      </c>
      <c r="F252" s="24" t="n">
        <v>1</v>
      </c>
      <c r="G252" s="12" t="n">
        <f aca="false">'Dups+ B&amp;B Rates'!$I$9</f>
        <v>9</v>
      </c>
      <c r="H252" s="22" t="n">
        <f aca="false">G252*F252*E252</f>
        <v>18</v>
      </c>
      <c r="I252" s="20"/>
      <c r="K252" s="23" t="n">
        <f aca="false">Рынок!$D$9</f>
        <v>10.6446676867807</v>
      </c>
      <c r="L252" s="3" t="n">
        <f aca="false">K252*F252*E252</f>
        <v>21.2893353735613</v>
      </c>
    </row>
    <row r="253" customFormat="false" ht="15" hidden="false" customHeight="true" outlineLevel="0" collapsed="false">
      <c r="A253" s="15" t="s">
        <v>29</v>
      </c>
      <c r="B253" s="15" t="s">
        <v>551</v>
      </c>
      <c r="C253" s="30" t="s">
        <v>345</v>
      </c>
      <c r="D253" s="16" t="s">
        <v>157</v>
      </c>
      <c r="E253" s="82" t="n">
        <f aca="false">0.35*2.8+0.25*2.8+0.35*2.8+2*2.8+1.53*2.8-1.22*1.44</f>
        <v>10.7872</v>
      </c>
      <c r="F253" s="24" t="n">
        <v>1</v>
      </c>
      <c r="G253" s="12" t="n">
        <f aca="false">'Dups+ B&amp;B Rates'!$I$7</f>
        <v>4</v>
      </c>
      <c r="H253" s="22" t="n">
        <f aca="false">G253*F253*E253</f>
        <v>43.1488</v>
      </c>
      <c r="I253" s="20"/>
      <c r="K253" s="21" t="n">
        <f aca="false">G253</f>
        <v>4</v>
      </c>
      <c r="L253" s="3" t="n">
        <f aca="false">K253*F253*E253</f>
        <v>43.1488</v>
      </c>
    </row>
    <row r="254" customFormat="false" ht="15" hidden="false" customHeight="true" outlineLevel="0" collapsed="false">
      <c r="A254" s="15" t="s">
        <v>29</v>
      </c>
      <c r="B254" s="15" t="s">
        <v>444</v>
      </c>
      <c r="C254" s="15" t="s">
        <v>187</v>
      </c>
      <c r="D254" s="16" t="s">
        <v>157</v>
      </c>
      <c r="E254" s="82" t="n">
        <v>3.1</v>
      </c>
      <c r="F254" s="24" t="n">
        <v>1</v>
      </c>
      <c r="G254" s="12" t="n">
        <f aca="false">'Dups+ B&amp;B Rates'!$I$3</f>
        <v>0.5</v>
      </c>
      <c r="H254" s="22" t="n">
        <f aca="false">G254*F254*E254</f>
        <v>1.55</v>
      </c>
      <c r="I254" s="20"/>
      <c r="K254" s="23" t="n">
        <f aca="false">Рынок!$D$3</f>
        <v>0.665291730423791</v>
      </c>
      <c r="L254" s="3" t="n">
        <f aca="false">K254*F254*E254</f>
        <v>2.06240436431375</v>
      </c>
    </row>
    <row r="255" customFormat="false" ht="15" hidden="false" customHeight="true" outlineLevel="0" collapsed="false">
      <c r="A255" s="15" t="s">
        <v>29</v>
      </c>
      <c r="B255" s="15" t="s">
        <v>175</v>
      </c>
      <c r="C255" s="30" t="s">
        <v>175</v>
      </c>
      <c r="D255" s="16" t="s">
        <v>157</v>
      </c>
      <c r="E255" s="82" t="n">
        <f aca="false">1.53*2</f>
        <v>3.06</v>
      </c>
      <c r="F255" s="24" t="n">
        <v>2</v>
      </c>
      <c r="G255" s="12" t="n">
        <f aca="false">'Dups+ B&amp;B Rates'!$I$17</f>
        <v>1.5</v>
      </c>
      <c r="H255" s="22" t="n">
        <f aca="false">G255*F255*E255</f>
        <v>9.18</v>
      </c>
      <c r="I255" s="20"/>
      <c r="K255" s="21" t="n">
        <f aca="false">G255</f>
        <v>1.5</v>
      </c>
      <c r="L255" s="3" t="n">
        <f aca="false">K255*F255*E255</f>
        <v>9.18</v>
      </c>
    </row>
    <row r="256" customFormat="false" ht="15" hidden="false" customHeight="true" outlineLevel="0" collapsed="false">
      <c r="A256" s="15" t="s">
        <v>29</v>
      </c>
      <c r="B256" s="15" t="s">
        <v>174</v>
      </c>
      <c r="C256" s="30" t="s">
        <v>174</v>
      </c>
      <c r="D256" s="16" t="s">
        <v>157</v>
      </c>
      <c r="E256" s="35" t="n">
        <f aca="false">0.35*2.8+0.25*2.8+0.35*2.8+2*2.8+1.53*2.8-1.22*1.44</f>
        <v>10.7872</v>
      </c>
      <c r="F256" s="24" t="n">
        <v>2</v>
      </c>
      <c r="G256" s="12" t="n">
        <f aca="false">'Dups+ B&amp;B Rates'!$I$18</f>
        <v>1</v>
      </c>
      <c r="H256" s="22" t="n">
        <f aca="false">G256*F256*E256</f>
        <v>21.5744</v>
      </c>
      <c r="I256" s="20"/>
      <c r="K256" s="21" t="n">
        <f aca="false">G256</f>
        <v>1</v>
      </c>
      <c r="L256" s="3" t="n">
        <f aca="false">K256*F256*E256</f>
        <v>21.5744</v>
      </c>
    </row>
    <row r="257" customFormat="false" ht="15" hidden="false" customHeight="true" outlineLevel="0" collapsed="false">
      <c r="A257" s="15" t="s">
        <v>29</v>
      </c>
      <c r="B257" s="15" t="s">
        <v>586</v>
      </c>
      <c r="C257" s="30" t="s">
        <v>178</v>
      </c>
      <c r="D257" s="16" t="s">
        <v>157</v>
      </c>
      <c r="E257" s="68" t="n">
        <f aca="false">0.2*(1.22+1.44*2)</f>
        <v>0.82</v>
      </c>
      <c r="F257" s="24" t="n">
        <v>1</v>
      </c>
      <c r="G257" s="12" t="n">
        <f aca="false">'Dups+ B&amp;B Rates'!$I$31</f>
        <v>15</v>
      </c>
      <c r="H257" s="22" t="n">
        <f aca="false">G257*F257*E257</f>
        <v>12.3</v>
      </c>
      <c r="I257" s="20"/>
      <c r="J257" s="26" t="s">
        <v>479</v>
      </c>
      <c r="K257" s="21" t="n">
        <f aca="false">G257</f>
        <v>15</v>
      </c>
      <c r="L257" s="3" t="n">
        <f aca="false">K257*F257*E257</f>
        <v>12.3</v>
      </c>
    </row>
    <row r="258" customFormat="false" ht="15" hidden="false" customHeight="true" outlineLevel="0" collapsed="false">
      <c r="A258" s="15" t="s">
        <v>29</v>
      </c>
      <c r="B258" s="15" t="s">
        <v>561</v>
      </c>
      <c r="C258" s="30" t="s">
        <v>307</v>
      </c>
      <c r="D258" s="16" t="s">
        <v>424</v>
      </c>
      <c r="E258" s="82" t="n">
        <f aca="false">2.8*4</f>
        <v>11.2</v>
      </c>
      <c r="F258" s="24" t="n">
        <v>1</v>
      </c>
      <c r="G258" s="12" t="n">
        <f aca="false">'Dups+ B&amp;B Rates'!$I$19</f>
        <v>2</v>
      </c>
      <c r="H258" s="22" t="n">
        <f aca="false">G258*F258*E258</f>
        <v>22.4</v>
      </c>
      <c r="I258" s="20"/>
      <c r="K258" s="21" t="n">
        <f aca="false">G258</f>
        <v>2</v>
      </c>
      <c r="L258" s="3" t="n">
        <f aca="false">K258*F258*E258</f>
        <v>22.4</v>
      </c>
    </row>
    <row r="259" customFormat="false" ht="15" hidden="false" customHeight="true" outlineLevel="0" collapsed="false">
      <c r="A259" s="15" t="s">
        <v>30</v>
      </c>
      <c r="B259" s="15" t="s">
        <v>422</v>
      </c>
      <c r="C259" s="15" t="s">
        <v>249</v>
      </c>
      <c r="D259" s="16" t="s">
        <v>157</v>
      </c>
      <c r="E259" s="68"/>
      <c r="F259" s="24" t="n">
        <v>1</v>
      </c>
      <c r="G259" s="12"/>
      <c r="H259" s="22"/>
      <c r="I259" s="20"/>
      <c r="J259" s="1" t="s">
        <v>456</v>
      </c>
    </row>
    <row r="260" customFormat="false" ht="15" hidden="false" customHeight="true" outlineLevel="0" collapsed="false">
      <c r="A260" s="15" t="s">
        <v>30</v>
      </c>
      <c r="B260" s="15" t="s">
        <v>207</v>
      </c>
      <c r="C260" s="30" t="s">
        <v>215</v>
      </c>
      <c r="D260" s="16" t="s">
        <v>424</v>
      </c>
      <c r="E260" s="82" t="n">
        <f aca="false">3*0.84</f>
        <v>2.52</v>
      </c>
      <c r="F260" s="24" t="n">
        <v>1</v>
      </c>
      <c r="G260" s="12" t="n">
        <f aca="false">'Dups+ B&amp;B Rates'!$I$28</f>
        <v>3</v>
      </c>
      <c r="H260" s="22" t="n">
        <f aca="false">G260*F260*E260</f>
        <v>7.56</v>
      </c>
      <c r="I260" s="20"/>
      <c r="J260" s="26" t="s">
        <v>425</v>
      </c>
      <c r="K260" s="21" t="n">
        <f aca="false">G260</f>
        <v>3</v>
      </c>
      <c r="L260" s="3" t="n">
        <f aca="false">K260*F260*E260</f>
        <v>7.56</v>
      </c>
    </row>
    <row r="261" customFormat="false" ht="15" hidden="false" customHeight="true" outlineLevel="0" collapsed="false">
      <c r="A261" s="15" t="s">
        <v>30</v>
      </c>
      <c r="B261" s="15" t="s">
        <v>444</v>
      </c>
      <c r="C261" s="15" t="s">
        <v>187</v>
      </c>
      <c r="D261" s="16" t="s">
        <v>157</v>
      </c>
      <c r="E261" s="82" t="n">
        <f aca="false">1.75*0.85</f>
        <v>1.4875</v>
      </c>
      <c r="F261" s="24" t="n">
        <v>1</v>
      </c>
      <c r="G261" s="12" t="n">
        <f aca="false">'Dups+ B&amp;B Rates'!$I$3</f>
        <v>0.5</v>
      </c>
      <c r="H261" s="22" t="n">
        <f aca="false">G261*F261*E261</f>
        <v>0.74375</v>
      </c>
      <c r="I261" s="20"/>
      <c r="K261" s="23" t="n">
        <f aca="false">Рынок!$D$3</f>
        <v>0.665291730423791</v>
      </c>
      <c r="L261" s="3" t="n">
        <f aca="false">K261*F261*E261</f>
        <v>0.989621449005389</v>
      </c>
    </row>
    <row r="262" customFormat="false" ht="15" hidden="false" customHeight="true" outlineLevel="0" collapsed="false">
      <c r="A262" s="15" t="s">
        <v>30</v>
      </c>
      <c r="B262" s="15" t="s">
        <v>175</v>
      </c>
      <c r="C262" s="30" t="s">
        <v>175</v>
      </c>
      <c r="D262" s="16" t="s">
        <v>157</v>
      </c>
      <c r="E262" s="82" t="n">
        <f aca="false">1.75*0.85</f>
        <v>1.4875</v>
      </c>
      <c r="F262" s="24" t="n">
        <v>2</v>
      </c>
      <c r="G262" s="12" t="n">
        <f aca="false">'Dups+ B&amp;B Rates'!$I$17</f>
        <v>1.5</v>
      </c>
      <c r="H262" s="22" t="n">
        <f aca="false">G262*F262*E262</f>
        <v>4.4625</v>
      </c>
      <c r="I262" s="20"/>
      <c r="K262" s="21" t="n">
        <f aca="false">G262</f>
        <v>1.5</v>
      </c>
      <c r="L262" s="3" t="n">
        <f aca="false">K262*F262*E262</f>
        <v>4.4625</v>
      </c>
    </row>
    <row r="263" customFormat="false" ht="15" hidden="false" customHeight="true" outlineLevel="0" collapsed="false">
      <c r="A263" s="15" t="s">
        <v>30</v>
      </c>
      <c r="B263" s="15" t="s">
        <v>496</v>
      </c>
      <c r="C263" s="15" t="s">
        <v>172</v>
      </c>
      <c r="D263" s="16" t="s">
        <v>157</v>
      </c>
      <c r="E263" s="82" t="n">
        <f aca="false">0.49*2.7*2+0.87*2.89*0.2+1.75*2.9-0.79*2.04-0.77*2.04</f>
        <v>5.04146</v>
      </c>
      <c r="F263" s="24" t="n">
        <v>1</v>
      </c>
      <c r="G263" s="12" t="n">
        <f aca="false">'Dups+ B&amp;B Rates'!$I$3</f>
        <v>0.5</v>
      </c>
      <c r="H263" s="22" t="n">
        <f aca="false">G263*F263*E263</f>
        <v>2.52073</v>
      </c>
      <c r="I263" s="20"/>
      <c r="K263" s="23" t="n">
        <f aca="false">Рынок!$D$3</f>
        <v>0.665291730423791</v>
      </c>
      <c r="L263" s="3" t="n">
        <f aca="false">K263*F263*E263</f>
        <v>3.35404164726232</v>
      </c>
    </row>
    <row r="264" customFormat="false" ht="15" hidden="false" customHeight="true" outlineLevel="0" collapsed="false">
      <c r="A264" s="15" t="s">
        <v>30</v>
      </c>
      <c r="B264" s="15" t="s">
        <v>174</v>
      </c>
      <c r="C264" s="30" t="s">
        <v>174</v>
      </c>
      <c r="D264" s="16" t="s">
        <v>157</v>
      </c>
      <c r="E264" s="35" t="n">
        <f aca="false">0.49*2.7*2+0.87*2.89*0.2+1.75*2.9-0.79*2.04-0.77*2.04</f>
        <v>5.04146</v>
      </c>
      <c r="F264" s="24" t="n">
        <v>2</v>
      </c>
      <c r="G264" s="12" t="n">
        <f aca="false">'Dups+ B&amp;B Rates'!$I$18</f>
        <v>1</v>
      </c>
      <c r="H264" s="22" t="n">
        <f aca="false">G264*F264*E264</f>
        <v>10.08292</v>
      </c>
      <c r="I264" s="20"/>
      <c r="K264" s="21" t="n">
        <f aca="false">G264</f>
        <v>1</v>
      </c>
      <c r="L264" s="3" t="n">
        <f aca="false">K264*F264*E264</f>
        <v>10.08292</v>
      </c>
    </row>
    <row r="265" customFormat="false" ht="15" hidden="false" customHeight="true" outlineLevel="0" collapsed="false">
      <c r="A265" s="15" t="s">
        <v>30</v>
      </c>
      <c r="B265" s="15" t="s">
        <v>170</v>
      </c>
      <c r="C265" s="30" t="s">
        <v>170</v>
      </c>
      <c r="D265" s="16" t="s">
        <v>424</v>
      </c>
      <c r="E265" s="82" t="n">
        <v>1.75</v>
      </c>
      <c r="F265" s="24" t="n">
        <v>1</v>
      </c>
      <c r="G265" s="12" t="n">
        <f aca="false">'Dups+ B&amp;B Rates'!$I$22</f>
        <v>2.5</v>
      </c>
      <c r="H265" s="22" t="n">
        <f aca="false">G265*F265*E265</f>
        <v>4.375</v>
      </c>
      <c r="I265" s="20"/>
      <c r="K265" s="21" t="n">
        <f aca="false">G265</f>
        <v>2.5</v>
      </c>
      <c r="L265" s="3" t="n">
        <f aca="false">K265*F265*E265</f>
        <v>4.375</v>
      </c>
    </row>
    <row r="266" customFormat="false" ht="15" hidden="false" customHeight="true" outlineLevel="0" collapsed="false">
      <c r="A266" s="15" t="s">
        <v>30</v>
      </c>
      <c r="B266" s="15" t="s">
        <v>561</v>
      </c>
      <c r="C266" s="30" t="s">
        <v>307</v>
      </c>
      <c r="D266" s="16" t="s">
        <v>424</v>
      </c>
      <c r="E266" s="82" t="n">
        <f aca="false">0.84+2.9+0.17*2+0.49*2</f>
        <v>5.06</v>
      </c>
      <c r="F266" s="24" t="n">
        <v>1</v>
      </c>
      <c r="G266" s="12" t="n">
        <f aca="false">'Dups+ B&amp;B Rates'!$I$19</f>
        <v>2</v>
      </c>
      <c r="H266" s="22" t="n">
        <f aca="false">G266*F266*E266</f>
        <v>10.12</v>
      </c>
      <c r="I266" s="20"/>
      <c r="K266" s="21" t="n">
        <f aca="false">G266</f>
        <v>2</v>
      </c>
      <c r="L266" s="3" t="n">
        <f aca="false">K266*F266*E266</f>
        <v>10.12</v>
      </c>
    </row>
    <row r="267" customFormat="false" ht="15" hidden="false" customHeight="true" outlineLevel="0" collapsed="false">
      <c r="A267" s="15" t="s">
        <v>31</v>
      </c>
      <c r="B267" s="15" t="s">
        <v>316</v>
      </c>
      <c r="C267" s="30" t="s">
        <v>316</v>
      </c>
      <c r="D267" s="16" t="s">
        <v>157</v>
      </c>
      <c r="E267" s="68"/>
      <c r="F267" s="24" t="n">
        <v>1</v>
      </c>
      <c r="G267" s="12"/>
      <c r="H267" s="22"/>
      <c r="I267" s="20"/>
      <c r="J267" s="1" t="s">
        <v>456</v>
      </c>
    </row>
    <row r="268" customFormat="false" ht="15" hidden="false" customHeight="true" outlineLevel="0" collapsed="false">
      <c r="A268" s="15" t="s">
        <v>587</v>
      </c>
      <c r="B268" s="15" t="s">
        <v>588</v>
      </c>
      <c r="C268" s="30" t="s">
        <v>317</v>
      </c>
      <c r="D268" s="16" t="s">
        <v>589</v>
      </c>
      <c r="E268" s="82"/>
      <c r="F268" s="24" t="n">
        <v>2</v>
      </c>
      <c r="G268" s="12"/>
      <c r="H268" s="22"/>
      <c r="I268" s="20"/>
      <c r="J268" s="1" t="s">
        <v>456</v>
      </c>
    </row>
    <row r="269" customFormat="false" ht="15" hidden="false" customHeight="true" outlineLevel="0" collapsed="false">
      <c r="A269" s="15" t="s">
        <v>32</v>
      </c>
      <c r="B269" s="15" t="s">
        <v>590</v>
      </c>
      <c r="C269" s="83" t="s">
        <v>161</v>
      </c>
      <c r="D269" s="16" t="s">
        <v>157</v>
      </c>
      <c r="E269" s="82" t="n">
        <f aca="false">3.23*2.86</f>
        <v>9.2378</v>
      </c>
      <c r="F269" s="24" t="n">
        <v>2</v>
      </c>
      <c r="G269" s="12" t="n">
        <f aca="false">'Dups+ B&amp;B Rates'!$I$9</f>
        <v>9</v>
      </c>
      <c r="H269" s="22" t="n">
        <f aca="false">G269*F269*E269</f>
        <v>166.2804</v>
      </c>
      <c r="I269" s="20"/>
      <c r="K269" s="23" t="n">
        <f aca="false">Рынок!$D$9</f>
        <v>10.6446676867807</v>
      </c>
      <c r="L269" s="3" t="n">
        <f aca="false">K269*F269*E269</f>
        <v>196.666622313885</v>
      </c>
    </row>
    <row r="270" customFormat="false" ht="15" hidden="false" customHeight="true" outlineLevel="0" collapsed="false">
      <c r="A270" s="15" t="s">
        <v>32</v>
      </c>
      <c r="B270" s="15" t="s">
        <v>551</v>
      </c>
      <c r="C270" s="30" t="s">
        <v>551</v>
      </c>
      <c r="D270" s="16" t="s">
        <v>591</v>
      </c>
      <c r="E270" s="68"/>
      <c r="F270" s="24" t="n">
        <v>1</v>
      </c>
      <c r="G270" s="12"/>
      <c r="H270" s="22"/>
      <c r="I270" s="20"/>
      <c r="J270" s="1" t="s">
        <v>456</v>
      </c>
    </row>
    <row r="271" customFormat="false" ht="15" hidden="false" customHeight="true" outlineLevel="0" collapsed="false">
      <c r="A271" s="15" t="s">
        <v>32</v>
      </c>
      <c r="B271" s="15" t="s">
        <v>581</v>
      </c>
      <c r="C271" s="15" t="s">
        <v>172</v>
      </c>
      <c r="D271" s="16" t="s">
        <v>157</v>
      </c>
      <c r="E271" s="82" t="n">
        <v>9.2</v>
      </c>
      <c r="F271" s="24" t="n">
        <v>1</v>
      </c>
      <c r="G271" s="12" t="n">
        <f aca="false">'Dups+ B&amp;B Rates'!$I$3</f>
        <v>0.5</v>
      </c>
      <c r="H271" s="22" t="n">
        <f aca="false">G271*F271*E271</f>
        <v>4.6</v>
      </c>
      <c r="I271" s="20"/>
      <c r="K271" s="23" t="n">
        <f aca="false">Рынок!$D$3</f>
        <v>0.665291730423791</v>
      </c>
      <c r="L271" s="3" t="n">
        <f aca="false">K271*F271*E271</f>
        <v>6.12068391989887</v>
      </c>
    </row>
    <row r="272" customFormat="false" ht="15" hidden="false" customHeight="true" outlineLevel="0" collapsed="false">
      <c r="A272" s="15" t="s">
        <v>32</v>
      </c>
      <c r="B272" s="15" t="s">
        <v>215</v>
      </c>
      <c r="C272" s="30" t="s">
        <v>215</v>
      </c>
      <c r="D272" s="16" t="s">
        <v>424</v>
      </c>
      <c r="E272" s="82" t="n">
        <f aca="false">2.86*2</f>
        <v>5.72</v>
      </c>
      <c r="F272" s="24" t="n">
        <v>1</v>
      </c>
      <c r="G272" s="12" t="n">
        <f aca="false">'Dups+ B&amp;B Rates'!$I$28</f>
        <v>3</v>
      </c>
      <c r="H272" s="22" t="n">
        <f aca="false">G272*F272*E272</f>
        <v>17.16</v>
      </c>
      <c r="I272" s="20"/>
      <c r="J272" s="26" t="s">
        <v>425</v>
      </c>
      <c r="K272" s="21" t="n">
        <f aca="false">G272</f>
        <v>3</v>
      </c>
      <c r="L272" s="3" t="n">
        <f aca="false">K272*F272*E272</f>
        <v>17.16</v>
      </c>
    </row>
    <row r="273" customFormat="false" ht="15" hidden="false" customHeight="true" outlineLevel="0" collapsed="false">
      <c r="A273" s="15" t="s">
        <v>32</v>
      </c>
      <c r="B273" s="15" t="s">
        <v>592</v>
      </c>
      <c r="C273" s="30" t="s">
        <v>174</v>
      </c>
      <c r="D273" s="16" t="s">
        <v>157</v>
      </c>
      <c r="E273" s="35" t="n">
        <f aca="false">3.23*2.86</f>
        <v>9.2378</v>
      </c>
      <c r="F273" s="24" t="n">
        <v>2</v>
      </c>
      <c r="G273" s="12" t="n">
        <f aca="false">'Dups+ B&amp;B Rates'!$I$18</f>
        <v>1</v>
      </c>
      <c r="H273" s="22" t="n">
        <f aca="false">G273*F273*E273</f>
        <v>18.4756</v>
      </c>
      <c r="I273" s="20"/>
      <c r="K273" s="21" t="n">
        <f aca="false">G273</f>
        <v>1</v>
      </c>
      <c r="L273" s="3" t="n">
        <f aca="false">K273*F273*E273</f>
        <v>18.4756</v>
      </c>
    </row>
    <row r="274" customFormat="false" ht="15" hidden="false" customHeight="true" outlineLevel="0" collapsed="false">
      <c r="A274" s="15" t="s">
        <v>32</v>
      </c>
      <c r="B274" s="15" t="s">
        <v>561</v>
      </c>
      <c r="C274" s="30" t="s">
        <v>307</v>
      </c>
      <c r="D274" s="16" t="s">
        <v>424</v>
      </c>
      <c r="E274" s="82" t="n">
        <f aca="false">0.9+2.86</f>
        <v>3.76</v>
      </c>
      <c r="F274" s="24" t="n">
        <v>1</v>
      </c>
      <c r="G274" s="12" t="n">
        <f aca="false">'Dups+ B&amp;B Rates'!$I$19</f>
        <v>2</v>
      </c>
      <c r="H274" s="22" t="n">
        <f aca="false">G274*F274*E274</f>
        <v>7.52</v>
      </c>
      <c r="I274" s="20"/>
      <c r="K274" s="21" t="n">
        <f aca="false">G274</f>
        <v>2</v>
      </c>
      <c r="L274" s="3" t="n">
        <f aca="false">K274*F274*E274</f>
        <v>7.52</v>
      </c>
    </row>
    <row r="275" customFormat="false" ht="15" hidden="false" customHeight="true" outlineLevel="0" collapsed="false">
      <c r="A275" s="15" t="s">
        <v>33</v>
      </c>
      <c r="B275" s="69" t="s">
        <v>567</v>
      </c>
      <c r="C275" s="74" t="s">
        <v>355</v>
      </c>
      <c r="D275" s="16" t="s">
        <v>157</v>
      </c>
      <c r="E275" s="82" t="n">
        <f aca="false">3.33*3.44</f>
        <v>11.4552</v>
      </c>
      <c r="F275" s="24" t="n">
        <v>1</v>
      </c>
      <c r="G275" s="12" t="n">
        <f aca="false">'Dups+ B&amp;B Rates'!$I$8</f>
        <v>8</v>
      </c>
      <c r="H275" s="22" t="n">
        <f aca="false">G275*F275*E275</f>
        <v>91.6416</v>
      </c>
      <c r="I275" s="20"/>
      <c r="K275" s="23" t="n">
        <f aca="false">Рынок!$D$8</f>
        <v>10.6446676867807</v>
      </c>
      <c r="L275" s="3" t="n">
        <f aca="false">K275*F275*E275</f>
        <v>121.93679728561</v>
      </c>
    </row>
    <row r="276" customFormat="false" ht="15" hidden="false" customHeight="true" outlineLevel="0" collapsed="false">
      <c r="A276" s="15" t="s">
        <v>33</v>
      </c>
      <c r="B276" s="15" t="s">
        <v>205</v>
      </c>
      <c r="C276" s="30" t="s">
        <v>215</v>
      </c>
      <c r="D276" s="16" t="s">
        <v>424</v>
      </c>
      <c r="E276" s="82" t="n">
        <f aca="false">3.44*2+3.33</f>
        <v>10.21</v>
      </c>
      <c r="F276" s="24" t="n">
        <v>1</v>
      </c>
      <c r="G276" s="12" t="n">
        <f aca="false">'Dups+ B&amp;B Rates'!$I$28</f>
        <v>3</v>
      </c>
      <c r="H276" s="22" t="n">
        <f aca="false">G276*F276*E276</f>
        <v>30.63</v>
      </c>
      <c r="I276" s="20"/>
      <c r="J276" s="26" t="s">
        <v>425</v>
      </c>
      <c r="K276" s="21" t="n">
        <f aca="false">G276</f>
        <v>3</v>
      </c>
      <c r="L276" s="3" t="n">
        <f aca="false">K276*F276*E276</f>
        <v>30.63</v>
      </c>
    </row>
    <row r="277" customFormat="false" ht="15" hidden="false" customHeight="true" outlineLevel="0" collapsed="false">
      <c r="A277" s="15" t="s">
        <v>33</v>
      </c>
      <c r="B277" s="15" t="s">
        <v>170</v>
      </c>
      <c r="C277" s="30" t="s">
        <v>170</v>
      </c>
      <c r="D277" s="16" t="s">
        <v>424</v>
      </c>
      <c r="E277" s="82" t="n">
        <f aca="false">2.87+2.65</f>
        <v>5.52</v>
      </c>
      <c r="F277" s="24" t="n">
        <v>1</v>
      </c>
      <c r="G277" s="12" t="n">
        <f aca="false">'Dups+ B&amp;B Rates'!$I$22</f>
        <v>2.5</v>
      </c>
      <c r="H277" s="22" t="n">
        <f aca="false">G277*F277*E277</f>
        <v>13.8</v>
      </c>
      <c r="I277" s="20"/>
      <c r="K277" s="21" t="n">
        <f aca="false">G277</f>
        <v>2.5</v>
      </c>
      <c r="L277" s="3" t="n">
        <f aca="false">K277*F277*E277</f>
        <v>13.8</v>
      </c>
    </row>
    <row r="278" customFormat="false" ht="15" hidden="false" customHeight="true" outlineLevel="0" collapsed="false">
      <c r="A278" s="15" t="s">
        <v>33</v>
      </c>
      <c r="B278" s="15" t="s">
        <v>561</v>
      </c>
      <c r="C278" s="30" t="s">
        <v>307</v>
      </c>
      <c r="D278" s="16" t="s">
        <v>424</v>
      </c>
      <c r="E278" s="68"/>
      <c r="F278" s="24" t="n">
        <v>1</v>
      </c>
      <c r="G278" s="12"/>
      <c r="H278" s="22"/>
      <c r="I278" s="20"/>
      <c r="J278" s="1" t="s">
        <v>456</v>
      </c>
    </row>
    <row r="279" customFormat="false" ht="15" hidden="false" customHeight="true" outlineLevel="0" collapsed="false">
      <c r="A279" s="15" t="s">
        <v>33</v>
      </c>
      <c r="B279" s="15" t="s">
        <v>231</v>
      </c>
      <c r="C279" s="30" t="s">
        <v>231</v>
      </c>
      <c r="D279" s="16" t="s">
        <v>157</v>
      </c>
      <c r="E279" s="82" t="n">
        <f aca="false">(2.57+3.43+1.92+1.59)*0.9+0.84*0.79+(1.91+1.59+0.97+3.43+0.65)*1.4+0.93*2.87+0.44*0.97</f>
        <v>24.2885</v>
      </c>
      <c r="F279" s="24" t="n">
        <v>1</v>
      </c>
      <c r="G279" s="12" t="n">
        <f aca="false">'Dups+ B&amp;B Rates'!$I$28</f>
        <v>3</v>
      </c>
      <c r="H279" s="22" t="n">
        <f aca="false">G279*F279*E279</f>
        <v>72.8655</v>
      </c>
      <c r="I279" s="20"/>
      <c r="K279" s="21" t="n">
        <f aca="false">G279</f>
        <v>3</v>
      </c>
      <c r="L279" s="3" t="n">
        <f aca="false">K279*F279*E279</f>
        <v>72.8655</v>
      </c>
    </row>
    <row r="280" customFormat="false" ht="15" hidden="false" customHeight="true" outlineLevel="0" collapsed="false">
      <c r="A280" s="15" t="s">
        <v>33</v>
      </c>
      <c r="B280" s="15" t="s">
        <v>444</v>
      </c>
      <c r="C280" s="15" t="s">
        <v>187</v>
      </c>
      <c r="D280" s="16" t="s">
        <v>157</v>
      </c>
      <c r="E280" s="82" t="n">
        <v>11.5</v>
      </c>
      <c r="F280" s="24" t="n">
        <v>1</v>
      </c>
      <c r="G280" s="12" t="n">
        <f aca="false">'Dups+ B&amp;B Rates'!$I$3</f>
        <v>0.5</v>
      </c>
      <c r="H280" s="22" t="n">
        <f aca="false">G280*F280*E280</f>
        <v>5.75</v>
      </c>
      <c r="I280" s="20"/>
      <c r="K280" s="23" t="n">
        <f aca="false">Рынок!$D$3</f>
        <v>0.665291730423791</v>
      </c>
      <c r="L280" s="3" t="n">
        <f aca="false">K280*F280*E280</f>
        <v>7.65085489987359</v>
      </c>
    </row>
    <row r="281" customFormat="false" ht="15" hidden="false" customHeight="true" outlineLevel="0" collapsed="false">
      <c r="A281" s="15" t="s">
        <v>33</v>
      </c>
      <c r="B281" s="15" t="s">
        <v>496</v>
      </c>
      <c r="C281" s="15" t="s">
        <v>172</v>
      </c>
      <c r="D281" s="16" t="s">
        <v>157</v>
      </c>
      <c r="E281" s="82" t="n">
        <v>24.3</v>
      </c>
      <c r="F281" s="24" t="n">
        <v>1</v>
      </c>
      <c r="G281" s="12" t="n">
        <f aca="false">'Dups+ B&amp;B Rates'!$I$3</f>
        <v>0.5</v>
      </c>
      <c r="H281" s="22" t="n">
        <f aca="false">G281*F281*E281</f>
        <v>12.15</v>
      </c>
      <c r="I281" s="20"/>
      <c r="K281" s="23" t="n">
        <f aca="false">Рынок!$D$3</f>
        <v>0.665291730423791</v>
      </c>
      <c r="L281" s="3" t="n">
        <f aca="false">K281*F281*E281</f>
        <v>16.1665890492981</v>
      </c>
    </row>
    <row r="282" customFormat="false" ht="15" hidden="false" customHeight="true" outlineLevel="0" collapsed="false">
      <c r="A282" s="15" t="s">
        <v>33</v>
      </c>
      <c r="B282" s="15" t="s">
        <v>175</v>
      </c>
      <c r="C282" s="30" t="s">
        <v>175</v>
      </c>
      <c r="D282" s="16" t="s">
        <v>157</v>
      </c>
      <c r="E282" s="82" t="n">
        <v>11.5</v>
      </c>
      <c r="F282" s="24" t="n">
        <v>2</v>
      </c>
      <c r="G282" s="12" t="n">
        <f aca="false">'Dups+ B&amp;B Rates'!$I$17</f>
        <v>1.5</v>
      </c>
      <c r="H282" s="22" t="n">
        <f aca="false">G282*F282*E282</f>
        <v>34.5</v>
      </c>
      <c r="I282" s="20"/>
      <c r="K282" s="21" t="n">
        <f aca="false">G282</f>
        <v>1.5</v>
      </c>
      <c r="L282" s="3" t="n">
        <f aca="false">K282*F282*E282</f>
        <v>34.5</v>
      </c>
    </row>
    <row r="283" customFormat="false" ht="15" hidden="false" customHeight="true" outlineLevel="0" collapsed="false">
      <c r="A283" s="15" t="s">
        <v>34</v>
      </c>
      <c r="B283" s="15" t="s">
        <v>430</v>
      </c>
      <c r="C283" s="15" t="s">
        <v>172</v>
      </c>
      <c r="D283" s="16" t="s">
        <v>157</v>
      </c>
      <c r="E283" s="82" t="n">
        <f aca="false">(1.37+1.22+0.27+0.77+0.96+0.28+2.28+1.01)*2.94-0.8*2.03</f>
        <v>22.3664</v>
      </c>
      <c r="F283" s="24" t="n">
        <v>1</v>
      </c>
      <c r="G283" s="12" t="n">
        <f aca="false">'Dups+ B&amp;B Rates'!$I$3</f>
        <v>0.5</v>
      </c>
      <c r="H283" s="22" t="n">
        <f aca="false">G283*F283*E283</f>
        <v>11.1832</v>
      </c>
      <c r="I283" s="20"/>
      <c r="K283" s="23" t="n">
        <f aca="false">Рынок!$D$3</f>
        <v>0.665291730423791</v>
      </c>
      <c r="L283" s="3" t="n">
        <f aca="false">K283*F283*E283</f>
        <v>14.8801809593507</v>
      </c>
    </row>
    <row r="284" customFormat="false" ht="15" hidden="false" customHeight="true" outlineLevel="0" collapsed="false">
      <c r="A284" s="15" t="s">
        <v>34</v>
      </c>
      <c r="B284" s="15" t="s">
        <v>231</v>
      </c>
      <c r="C284" s="30" t="s">
        <v>231</v>
      </c>
      <c r="D284" s="16" t="s">
        <v>157</v>
      </c>
      <c r="E284" s="82" t="n">
        <f aca="false">(1.37+1.22+0.27+0.77+0.96+0.28+2.28+1.01)*2.94-0.8*2.03</f>
        <v>22.3664</v>
      </c>
      <c r="F284" s="24" t="n">
        <v>1</v>
      </c>
      <c r="G284" s="12" t="n">
        <f aca="false">'Dups+ B&amp;B Rates'!$I$28</f>
        <v>3</v>
      </c>
      <c r="H284" s="22" t="n">
        <f aca="false">G284*F284*E284</f>
        <v>67.0992</v>
      </c>
      <c r="I284" s="20"/>
      <c r="K284" s="21" t="n">
        <f aca="false">G284</f>
        <v>3</v>
      </c>
      <c r="L284" s="3" t="n">
        <f aca="false">K284*F284*E284</f>
        <v>67.0992</v>
      </c>
    </row>
    <row r="285" customFormat="false" ht="15" hidden="false" customHeight="true" outlineLevel="0" collapsed="false">
      <c r="A285" s="15" t="s">
        <v>34</v>
      </c>
      <c r="B285" s="15" t="s">
        <v>593</v>
      </c>
      <c r="C285" s="30" t="s">
        <v>174</v>
      </c>
      <c r="D285" s="16" t="s">
        <v>157</v>
      </c>
      <c r="E285" s="35" t="n">
        <f aca="false">(1.37+1.22+0.27+0.77+0.96+0.28+2.28+1.01)*2.94-0.8*2.03</f>
        <v>22.3664</v>
      </c>
      <c r="F285" s="65" t="n">
        <v>1</v>
      </c>
      <c r="G285" s="12" t="n">
        <f aca="false">'Dups+ B&amp;B Rates'!$I$18</f>
        <v>1</v>
      </c>
      <c r="H285" s="22" t="n">
        <f aca="false">G285*F285*E285</f>
        <v>22.3664</v>
      </c>
      <c r="I285" s="20"/>
      <c r="K285" s="21" t="n">
        <f aca="false">G285</f>
        <v>1</v>
      </c>
      <c r="L285" s="3" t="n">
        <f aca="false">K285*F285*E285</f>
        <v>22.3664</v>
      </c>
    </row>
    <row r="286" customFormat="false" ht="15" hidden="false" customHeight="true" outlineLevel="0" collapsed="false">
      <c r="A286" s="15" t="s">
        <v>35</v>
      </c>
      <c r="B286" s="15" t="s">
        <v>594</v>
      </c>
      <c r="C286" s="30" t="s">
        <v>361</v>
      </c>
      <c r="D286" s="16" t="s">
        <v>157</v>
      </c>
      <c r="E286" s="68" t="n">
        <f aca="false">0.2*2.35</f>
        <v>0.47</v>
      </c>
      <c r="F286" s="24" t="n">
        <v>1</v>
      </c>
      <c r="G286" s="12" t="n">
        <f aca="false">'Dups+ B&amp;B Rates'!$I$26</f>
        <v>6.5</v>
      </c>
      <c r="H286" s="22" t="n">
        <f aca="false">G286*F286*E286</f>
        <v>3.055</v>
      </c>
      <c r="I286" s="20"/>
      <c r="J286" s="26" t="s">
        <v>466</v>
      </c>
      <c r="K286" s="23" t="n">
        <f aca="false">Рынок!$D$7</f>
        <v>8.31614663029739</v>
      </c>
      <c r="L286" s="3" t="n">
        <f aca="false">K286*F286*E286</f>
        <v>3.90858891623977</v>
      </c>
    </row>
    <row r="287" customFormat="false" ht="15" hidden="false" customHeight="true" outlineLevel="0" collapsed="false">
      <c r="A287" s="15" t="s">
        <v>35</v>
      </c>
      <c r="B287" s="15" t="s">
        <v>363</v>
      </c>
      <c r="C287" s="30" t="s">
        <v>363</v>
      </c>
      <c r="D287" s="16" t="s">
        <v>157</v>
      </c>
      <c r="E287" s="68" t="n">
        <f aca="false">0.5*(0.73+1.24)</f>
        <v>0.985</v>
      </c>
      <c r="F287" s="24" t="n">
        <v>1</v>
      </c>
      <c r="G287" s="12" t="n">
        <f aca="false">'Dups+ B&amp;B Rates'!$I$21</f>
        <v>15</v>
      </c>
      <c r="H287" s="22" t="n">
        <f aca="false">G287*F287*E287</f>
        <v>14.775</v>
      </c>
      <c r="I287" s="20"/>
      <c r="J287" s="26" t="s">
        <v>479</v>
      </c>
      <c r="K287" s="21" t="n">
        <f aca="false">G287</f>
        <v>15</v>
      </c>
      <c r="L287" s="3" t="n">
        <f aca="false">K287*F287*E287</f>
        <v>14.775</v>
      </c>
    </row>
    <row r="288" customFormat="false" ht="15" hidden="false" customHeight="true" outlineLevel="0" collapsed="false">
      <c r="A288" s="15" t="s">
        <v>35</v>
      </c>
      <c r="B288" s="69" t="s">
        <v>595</v>
      </c>
      <c r="C288" s="74" t="s">
        <v>355</v>
      </c>
      <c r="D288" s="16" t="s">
        <v>157</v>
      </c>
      <c r="E288" s="68" t="n">
        <f aca="false">0.78*0.73+1.25*0.8+1.51*2.35</f>
        <v>5.1179</v>
      </c>
      <c r="F288" s="24" t="n">
        <v>1</v>
      </c>
      <c r="G288" s="12" t="n">
        <f aca="false">'Dups+ B&amp;B Rates'!$I$8</f>
        <v>8</v>
      </c>
      <c r="H288" s="22" t="n">
        <f aca="false">G288*F288*E288</f>
        <v>40.9432</v>
      </c>
      <c r="I288" s="20"/>
      <c r="K288" s="23" t="n">
        <f aca="false">Рынок!$D$8</f>
        <v>10.6446676867807</v>
      </c>
      <c r="L288" s="3" t="n">
        <f aca="false">K288*F288*E288</f>
        <v>54.4783447541747</v>
      </c>
    </row>
    <row r="289" customFormat="false" ht="15" hidden="false" customHeight="true" outlineLevel="0" collapsed="false">
      <c r="A289" s="15" t="s">
        <v>35</v>
      </c>
      <c r="B289" s="15" t="s">
        <v>596</v>
      </c>
      <c r="C289" s="30" t="s">
        <v>170</v>
      </c>
      <c r="D289" s="16" t="s">
        <v>424</v>
      </c>
      <c r="E289" s="68"/>
      <c r="F289" s="24" t="n">
        <v>1</v>
      </c>
      <c r="G289" s="12"/>
      <c r="H289" s="22"/>
      <c r="I289" s="20"/>
      <c r="J289" s="1" t="s">
        <v>456</v>
      </c>
    </row>
    <row r="290" customFormat="false" ht="15" hidden="false" customHeight="true" outlineLevel="0" collapsed="false">
      <c r="A290" s="15" t="s">
        <v>35</v>
      </c>
      <c r="B290" s="15" t="s">
        <v>366</v>
      </c>
      <c r="C290" s="30" t="s">
        <v>366</v>
      </c>
      <c r="D290" s="16" t="s">
        <v>424</v>
      </c>
      <c r="E290" s="68" t="n">
        <f aca="false">0.73*2+1.25*2+2.38*4+3.88</f>
        <v>17.36</v>
      </c>
      <c r="F290" s="24" t="n">
        <v>1</v>
      </c>
      <c r="G290" s="12" t="n">
        <f aca="false">'Dups+ B&amp;B Rates'!$I$22</f>
        <v>2.5</v>
      </c>
      <c r="H290" s="22" t="n">
        <f aca="false">G290*F290*E290</f>
        <v>43.4</v>
      </c>
      <c r="I290" s="20"/>
      <c r="K290" s="21" t="n">
        <f aca="false">G290</f>
        <v>2.5</v>
      </c>
      <c r="L290" s="3" t="n">
        <f aca="false">K290*F290*E290</f>
        <v>43.4</v>
      </c>
    </row>
    <row r="291" customFormat="false" ht="15" hidden="false" customHeight="true" outlineLevel="0" collapsed="false">
      <c r="A291" s="15" t="s">
        <v>35</v>
      </c>
      <c r="B291" s="30" t="s">
        <v>368</v>
      </c>
      <c r="C291" s="30" t="s">
        <v>368</v>
      </c>
      <c r="D291" s="16" t="s">
        <v>424</v>
      </c>
      <c r="E291" s="68" t="n">
        <f aca="false">2.87*3+0.86*4+1.25*2+0.74+0.27</f>
        <v>15.56</v>
      </c>
      <c r="F291" s="24" t="n">
        <v>1</v>
      </c>
      <c r="G291" s="12" t="n">
        <f aca="false">'Dups+ B&amp;B Rates'!$I$19</f>
        <v>2</v>
      </c>
      <c r="H291" s="22" t="n">
        <f aca="false">G291*F291*E291</f>
        <v>31.12</v>
      </c>
      <c r="I291" s="20"/>
      <c r="K291" s="21" t="n">
        <f aca="false">G291</f>
        <v>2</v>
      </c>
      <c r="L291" s="3" t="n">
        <f aca="false">K291*F291*E291</f>
        <v>31.12</v>
      </c>
    </row>
    <row r="292" customFormat="false" ht="15" hidden="false" customHeight="true" outlineLevel="0" collapsed="false">
      <c r="A292" s="15" t="s">
        <v>35</v>
      </c>
      <c r="B292" s="15" t="s">
        <v>205</v>
      </c>
      <c r="C292" s="30" t="s">
        <v>205</v>
      </c>
      <c r="D292" s="16" t="s">
        <v>424</v>
      </c>
      <c r="E292" s="68" t="n">
        <f aca="false">2.5*2</f>
        <v>5</v>
      </c>
      <c r="F292" s="24" t="n">
        <v>1</v>
      </c>
      <c r="G292" s="12" t="n">
        <f aca="false">'Dups+ B&amp;B Rates'!$I$27</f>
        <v>4</v>
      </c>
      <c r="H292" s="22" t="n">
        <f aca="false">G292*F292*E292</f>
        <v>20</v>
      </c>
      <c r="I292" s="20"/>
      <c r="J292" s="26" t="s">
        <v>425</v>
      </c>
      <c r="K292" s="21" t="n">
        <f aca="false">G292</f>
        <v>4</v>
      </c>
      <c r="L292" s="3" t="n">
        <f aca="false">K292*F292*E292</f>
        <v>20</v>
      </c>
    </row>
    <row r="293" customFormat="false" ht="15" hidden="false" customHeight="true" outlineLevel="0" collapsed="false">
      <c r="A293" s="15" t="s">
        <v>35</v>
      </c>
      <c r="B293" s="15" t="s">
        <v>597</v>
      </c>
      <c r="C293" s="30" t="s">
        <v>597</v>
      </c>
      <c r="D293" s="16" t="s">
        <v>157</v>
      </c>
      <c r="E293" s="68"/>
      <c r="F293" s="24" t="n">
        <v>1</v>
      </c>
      <c r="G293" s="12"/>
      <c r="H293" s="22"/>
      <c r="I293" s="20"/>
      <c r="J293" s="1" t="s">
        <v>456</v>
      </c>
    </row>
    <row r="294" customFormat="false" ht="15" hidden="false" customHeight="true" outlineLevel="0" collapsed="false">
      <c r="A294" s="15" t="s">
        <v>35</v>
      </c>
      <c r="B294" s="15" t="s">
        <v>444</v>
      </c>
      <c r="C294" s="15" t="s">
        <v>187</v>
      </c>
      <c r="D294" s="15" t="s">
        <v>598</v>
      </c>
      <c r="E294" s="68" t="n">
        <v>5.1</v>
      </c>
      <c r="F294" s="24" t="n">
        <v>1</v>
      </c>
      <c r="G294" s="12" t="n">
        <f aca="false">'Dups+ B&amp;B Rates'!$I$3</f>
        <v>0.5</v>
      </c>
      <c r="H294" s="22" t="n">
        <f aca="false">G294*F294*E294</f>
        <v>2.55</v>
      </c>
      <c r="I294" s="20"/>
      <c r="J294" s="26" t="s">
        <v>599</v>
      </c>
      <c r="K294" s="23" t="n">
        <f aca="false">Рынок!$D$3</f>
        <v>0.665291730423791</v>
      </c>
      <c r="L294" s="3" t="n">
        <f aca="false">K294*F294*E294</f>
        <v>3.39298782516133</v>
      </c>
    </row>
    <row r="295" customFormat="false" ht="15" hidden="false" customHeight="true" outlineLevel="0" collapsed="false">
      <c r="A295" s="15" t="s">
        <v>35</v>
      </c>
      <c r="B295" s="15" t="s">
        <v>600</v>
      </c>
      <c r="C295" s="15" t="s">
        <v>371</v>
      </c>
      <c r="D295" s="16" t="s">
        <v>157</v>
      </c>
      <c r="E295" s="68" t="n">
        <v>21.9</v>
      </c>
      <c r="F295" s="24" t="n">
        <v>1</v>
      </c>
      <c r="G295" s="12" t="n">
        <f aca="false">'Dups+ B&amp;B Rates'!$I$3</f>
        <v>0.5</v>
      </c>
      <c r="H295" s="22" t="n">
        <f aca="false">G295*F295*E295</f>
        <v>10.95</v>
      </c>
      <c r="I295" s="20"/>
      <c r="K295" s="23" t="n">
        <f aca="false">Рынок!$D$3</f>
        <v>0.665291730423791</v>
      </c>
      <c r="L295" s="3" t="n">
        <f aca="false">K295*F295*E295</f>
        <v>14.569888896281</v>
      </c>
    </row>
    <row r="296" customFormat="false" ht="15" hidden="false" customHeight="true" outlineLevel="0" collapsed="false">
      <c r="A296" s="15" t="s">
        <v>35</v>
      </c>
      <c r="B296" s="15" t="s">
        <v>175</v>
      </c>
      <c r="C296" s="30" t="s">
        <v>175</v>
      </c>
      <c r="D296" s="16" t="s">
        <v>157</v>
      </c>
      <c r="E296" s="68" t="n">
        <f aca="false">0.78*0.73+1.25*0.8+1.51*2.35</f>
        <v>5.1179</v>
      </c>
      <c r="F296" s="24" t="n">
        <v>2</v>
      </c>
      <c r="G296" s="12" t="n">
        <f aca="false">'Dups+ B&amp;B Rates'!$I$17</f>
        <v>1.5</v>
      </c>
      <c r="H296" s="22" t="n">
        <f aca="false">G296*F296*E296</f>
        <v>15.3537</v>
      </c>
      <c r="I296" s="20"/>
      <c r="K296" s="21" t="n">
        <f aca="false">G296</f>
        <v>1.5</v>
      </c>
      <c r="L296" s="3" t="n">
        <f aca="false">K296*F296*E296</f>
        <v>15.3537</v>
      </c>
    </row>
    <row r="297" customFormat="false" ht="15" hidden="false" customHeight="true" outlineLevel="0" collapsed="false">
      <c r="A297" s="15" t="s">
        <v>35</v>
      </c>
      <c r="B297" s="15" t="s">
        <v>372</v>
      </c>
      <c r="C297" s="30" t="s">
        <v>372</v>
      </c>
      <c r="D297" s="16" t="s">
        <v>157</v>
      </c>
      <c r="E297" s="68" t="n">
        <f aca="false">(0.13+0.12+0.12)*2.87+(2+0.86+0.27+0.98+0.86+1.25+0.86)*2.87+2.35*0.2</f>
        <v>21.8515</v>
      </c>
      <c r="F297" s="24" t="n">
        <v>2</v>
      </c>
      <c r="G297" s="12" t="n">
        <f aca="false">'Dups+ B&amp;B Rates'!$I$18</f>
        <v>1</v>
      </c>
      <c r="H297" s="22" t="n">
        <f aca="false">G297*F297*E297</f>
        <v>43.703</v>
      </c>
      <c r="I297" s="20"/>
      <c r="K297" s="21" t="n">
        <f aca="false">G297</f>
        <v>1</v>
      </c>
      <c r="L297" s="3" t="n">
        <f aca="false">K297*F297*E297</f>
        <v>43.703</v>
      </c>
    </row>
    <row r="298" customFormat="false" ht="15" hidden="false" customHeight="true" outlineLevel="0" collapsed="false">
      <c r="A298" s="15" t="s">
        <v>36</v>
      </c>
      <c r="B298" s="15" t="s">
        <v>601</v>
      </c>
      <c r="C298" s="30" t="s">
        <v>373</v>
      </c>
      <c r="D298" s="16" t="s">
        <v>157</v>
      </c>
      <c r="E298" s="68" t="n">
        <f aca="false">2.9*3.86+0.1*(2.8*2.8+2+2)</f>
        <v>12.378</v>
      </c>
      <c r="F298" s="24" t="n">
        <v>1</v>
      </c>
      <c r="G298" s="12" t="n">
        <f aca="false">'Dups+ B&amp;B Rates'!$I$24</f>
        <v>11</v>
      </c>
      <c r="H298" s="22" t="n">
        <f aca="false">G298*F298*E298</f>
        <v>136.158</v>
      </c>
      <c r="I298" s="20"/>
      <c r="K298" s="21" t="n">
        <f aca="false">G298</f>
        <v>11</v>
      </c>
      <c r="L298" s="3" t="n">
        <f aca="false">K298*F298*E298</f>
        <v>136.158</v>
      </c>
    </row>
    <row r="299" customFormat="false" ht="15" hidden="false" customHeight="true" outlineLevel="0" collapsed="false">
      <c r="A299" s="15" t="s">
        <v>36</v>
      </c>
      <c r="B299" s="15" t="s">
        <v>602</v>
      </c>
      <c r="C299" s="30" t="s">
        <v>375</v>
      </c>
      <c r="D299" s="16" t="s">
        <v>157</v>
      </c>
      <c r="E299" s="68" t="n">
        <f aca="false">1.8*0.61+3.86*0.6+3.86*0.61+1.82*0.61</f>
        <v>6.8788</v>
      </c>
      <c r="F299" s="24" t="n">
        <v>1</v>
      </c>
      <c r="G299" s="12" t="n">
        <f aca="false">'Dups+ B&amp;B Rates'!$I$24</f>
        <v>11</v>
      </c>
      <c r="H299" s="22" t="n">
        <f aca="false">G299*F299*E299</f>
        <v>75.6668</v>
      </c>
      <c r="I299" s="20"/>
      <c r="K299" s="21" t="n">
        <f aca="false">G299</f>
        <v>11</v>
      </c>
      <c r="L299" s="3" t="n">
        <f aca="false">K299*F299*E299</f>
        <v>75.6668</v>
      </c>
    </row>
    <row r="300" customFormat="false" ht="15" hidden="false" customHeight="true" outlineLevel="0" collapsed="false">
      <c r="A300" s="15" t="s">
        <v>36</v>
      </c>
      <c r="B300" s="15" t="s">
        <v>603</v>
      </c>
      <c r="C300" s="30" t="s">
        <v>377</v>
      </c>
      <c r="D300" s="16" t="s">
        <v>424</v>
      </c>
      <c r="E300" s="71" t="n">
        <f aca="false">1.83+2.64*2</f>
        <v>7.11</v>
      </c>
      <c r="F300" s="24" t="n">
        <v>1</v>
      </c>
      <c r="G300" s="12" t="n">
        <f aca="false">'Dups+ B&amp;B Rates'!$I$22</f>
        <v>2.5</v>
      </c>
      <c r="H300" s="22" t="n">
        <f aca="false">G300*F300*E300</f>
        <v>17.775</v>
      </c>
      <c r="I300" s="20"/>
      <c r="J300" s="26" t="s">
        <v>604</v>
      </c>
      <c r="K300" s="21" t="n">
        <f aca="false">G300</f>
        <v>2.5</v>
      </c>
      <c r="L300" s="3" t="n">
        <f aca="false">K300*F300*E300</f>
        <v>17.775</v>
      </c>
    </row>
    <row r="301" customFormat="false" ht="15" hidden="false" customHeight="true" outlineLevel="0" collapsed="false">
      <c r="A301" s="15" t="s">
        <v>36</v>
      </c>
      <c r="B301" s="15" t="s">
        <v>561</v>
      </c>
      <c r="C301" s="30" t="s">
        <v>379</v>
      </c>
      <c r="D301" s="16" t="s">
        <v>424</v>
      </c>
      <c r="E301" s="68" t="n">
        <f aca="false">4+2.8*2</f>
        <v>9.6</v>
      </c>
      <c r="F301" s="24" t="n">
        <v>1</v>
      </c>
      <c r="G301" s="12" t="n">
        <f aca="false">'Dups+ B&amp;B Rates'!$I$19</f>
        <v>2</v>
      </c>
      <c r="H301" s="22" t="n">
        <f aca="false">G301*F301*E301</f>
        <v>19.2</v>
      </c>
      <c r="I301" s="20"/>
      <c r="K301" s="21" t="n">
        <f aca="false">G301</f>
        <v>2</v>
      </c>
      <c r="L301" s="3" t="n">
        <f aca="false">K301*F301*E301</f>
        <v>19.2</v>
      </c>
    </row>
    <row r="302" customFormat="false" ht="15" hidden="false" customHeight="true" outlineLevel="0" collapsed="false">
      <c r="A302" s="15" t="s">
        <v>36</v>
      </c>
      <c r="B302" s="15" t="s">
        <v>170</v>
      </c>
      <c r="C302" s="30" t="s">
        <v>381</v>
      </c>
      <c r="D302" s="16" t="s">
        <v>424</v>
      </c>
      <c r="E302" s="68" t="n">
        <f aca="false">2.64*4+1.81*4</f>
        <v>17.8</v>
      </c>
      <c r="F302" s="24" t="n">
        <v>1</v>
      </c>
      <c r="G302" s="12" t="n">
        <f aca="false">'Dups+ B&amp;B Rates'!$I$22</f>
        <v>2.5</v>
      </c>
      <c r="H302" s="22" t="n">
        <f aca="false">G302*F302*E302</f>
        <v>44.5</v>
      </c>
      <c r="I302" s="20"/>
      <c r="K302" s="21" t="n">
        <f aca="false">G302</f>
        <v>2.5</v>
      </c>
      <c r="L302" s="3" t="n">
        <f aca="false">K302*F302*E302</f>
        <v>44.5</v>
      </c>
    </row>
    <row r="303" customFormat="false" ht="15" hidden="false" customHeight="true" outlineLevel="0" collapsed="false">
      <c r="A303" s="15" t="s">
        <v>36</v>
      </c>
      <c r="B303" s="15" t="s">
        <v>605</v>
      </c>
      <c r="C303" s="30" t="s">
        <v>383</v>
      </c>
      <c r="D303" s="16" t="s">
        <v>157</v>
      </c>
      <c r="E303" s="68" t="n">
        <f aca="false">0.1*(2.8*2.8+2+2)+2*2.8</f>
        <v>6.784</v>
      </c>
      <c r="F303" s="24" t="n">
        <v>1</v>
      </c>
      <c r="G303" s="12" t="n">
        <f aca="false">'Dups+ B&amp;B Rates'!$I$27</f>
        <v>4</v>
      </c>
      <c r="H303" s="22" t="n">
        <f aca="false">G303*F303*E303</f>
        <v>27.136</v>
      </c>
      <c r="I303" s="20"/>
      <c r="K303" s="21" t="n">
        <f aca="false">G303</f>
        <v>4</v>
      </c>
      <c r="L303" s="3" t="n">
        <f aca="false">K303*F303*E303</f>
        <v>27.136</v>
      </c>
    </row>
    <row r="304" customFormat="false" ht="15" hidden="false" customHeight="true" outlineLevel="0" collapsed="false">
      <c r="A304" s="15" t="s">
        <v>36</v>
      </c>
      <c r="B304" s="15" t="s">
        <v>606</v>
      </c>
      <c r="C304" s="30" t="s">
        <v>385</v>
      </c>
      <c r="D304" s="16" t="s">
        <v>157</v>
      </c>
      <c r="E304" s="68" t="n">
        <f aca="false">E299</f>
        <v>6.8788</v>
      </c>
      <c r="F304" s="24" t="n">
        <v>1</v>
      </c>
      <c r="G304" s="12" t="n">
        <f aca="false">'Dups+ B&amp;B Rates'!$I$27</f>
        <v>4</v>
      </c>
      <c r="H304" s="22" t="n">
        <f aca="false">G304*F304*E304</f>
        <v>27.5152</v>
      </c>
      <c r="I304" s="20"/>
      <c r="K304" s="21" t="n">
        <f aca="false">G304</f>
        <v>4</v>
      </c>
      <c r="L304" s="3" t="n">
        <f aca="false">K304*F304*E304</f>
        <v>27.5152</v>
      </c>
    </row>
    <row r="305" customFormat="false" ht="15" hidden="false" customHeight="true" outlineLevel="0" collapsed="false">
      <c r="A305" s="15" t="s">
        <v>36</v>
      </c>
      <c r="B305" s="15" t="s">
        <v>607</v>
      </c>
      <c r="C305" s="30" t="s">
        <v>387</v>
      </c>
      <c r="D305" s="16" t="s">
        <v>157</v>
      </c>
      <c r="E305" s="68" t="n">
        <f aca="false">E303</f>
        <v>6.784</v>
      </c>
      <c r="F305" s="24" t="n">
        <v>1</v>
      </c>
      <c r="G305" s="12" t="n">
        <f aca="false">'Dups+ B&amp;B Rates'!$I$16</f>
        <v>2</v>
      </c>
      <c r="H305" s="22" t="n">
        <f aca="false">G305*F305*E305</f>
        <v>13.568</v>
      </c>
      <c r="I305" s="20"/>
      <c r="K305" s="23" t="n">
        <f aca="false">Рынок!$D$11</f>
        <v>4.32439624775464</v>
      </c>
      <c r="L305" s="3" t="n">
        <f aca="false">K305*F305*E305</f>
        <v>29.3367041447675</v>
      </c>
    </row>
    <row r="306" customFormat="false" ht="15" hidden="false" customHeight="true" outlineLevel="0" collapsed="false">
      <c r="A306" s="15" t="s">
        <v>36</v>
      </c>
      <c r="B306" s="15" t="s">
        <v>608</v>
      </c>
      <c r="C306" s="30" t="s">
        <v>389</v>
      </c>
      <c r="D306" s="16" t="s">
        <v>157</v>
      </c>
      <c r="E306" s="68" t="n">
        <f aca="false">E304</f>
        <v>6.8788</v>
      </c>
      <c r="F306" s="24" t="n">
        <v>1</v>
      </c>
      <c r="G306" s="12" t="n">
        <f aca="false">'Dups+ B&amp;B Rates'!$I$16</f>
        <v>2</v>
      </c>
      <c r="H306" s="22" t="n">
        <f aca="false">G306*F306*E306</f>
        <v>13.7576</v>
      </c>
      <c r="I306" s="20"/>
      <c r="K306" s="23" t="n">
        <f aca="false">Рынок!$D$11</f>
        <v>4.32439624775464</v>
      </c>
      <c r="L306" s="3" t="n">
        <f aca="false">K306*F306*E306</f>
        <v>29.7466569090546</v>
      </c>
    </row>
    <row r="307" customFormat="false" ht="15" hidden="false" customHeight="true" outlineLevel="0" collapsed="false">
      <c r="A307" s="15" t="s">
        <v>36</v>
      </c>
      <c r="B307" s="15" t="s">
        <v>609</v>
      </c>
      <c r="C307" s="30" t="s">
        <v>391</v>
      </c>
      <c r="D307" s="16" t="s">
        <v>157</v>
      </c>
      <c r="E307" s="68" t="n">
        <v>6.8</v>
      </c>
      <c r="F307" s="24" t="n">
        <v>1</v>
      </c>
      <c r="G307" s="12" t="n">
        <f aca="false">'Dups+ B&amp;B Rates'!$I$27</f>
        <v>4</v>
      </c>
      <c r="H307" s="22" t="n">
        <f aca="false">G307*F307*E307</f>
        <v>27.2</v>
      </c>
      <c r="I307" s="20"/>
      <c r="K307" s="21" t="n">
        <f aca="false">G307</f>
        <v>4</v>
      </c>
      <c r="L307" s="3" t="n">
        <f aca="false">K307*F307*E307</f>
        <v>27.2</v>
      </c>
    </row>
    <row r="308" customFormat="false" ht="15" hidden="false" customHeight="true" outlineLevel="0" collapsed="false">
      <c r="A308" s="15" t="s">
        <v>36</v>
      </c>
      <c r="B308" s="15" t="s">
        <v>393</v>
      </c>
      <c r="C308" s="30" t="s">
        <v>393</v>
      </c>
      <c r="D308" s="16" t="s">
        <v>157</v>
      </c>
      <c r="E308" s="68" t="n">
        <f aca="false">E304</f>
        <v>6.8788</v>
      </c>
      <c r="F308" s="24" t="n">
        <v>1</v>
      </c>
      <c r="G308" s="12" t="n">
        <f aca="false">'Dups+ B&amp;B Rates'!$I$27</f>
        <v>4</v>
      </c>
      <c r="H308" s="22" t="n">
        <f aca="false">G308*F308*E308</f>
        <v>27.5152</v>
      </c>
      <c r="I308" s="20"/>
      <c r="K308" s="21" t="n">
        <f aca="false">G308</f>
        <v>4</v>
      </c>
      <c r="L308" s="3" t="n">
        <f aca="false">K308*F308*E308</f>
        <v>27.5152</v>
      </c>
    </row>
    <row r="309" customFormat="false" ht="15" hidden="false" customHeight="true" outlineLevel="0" collapsed="false">
      <c r="A309" s="15" t="s">
        <v>36</v>
      </c>
      <c r="B309" s="15" t="s">
        <v>395</v>
      </c>
      <c r="C309" s="15" t="s">
        <v>395</v>
      </c>
      <c r="D309" s="16" t="s">
        <v>424</v>
      </c>
      <c r="E309" s="68" t="n">
        <f aca="false">E304</f>
        <v>6.8788</v>
      </c>
      <c r="F309" s="24" t="n">
        <v>1</v>
      </c>
      <c r="G309" s="12" t="n">
        <f aca="false">'Dups+ B&amp;B Rates'!$I$27</f>
        <v>4</v>
      </c>
      <c r="H309" s="22" t="n">
        <f aca="false">G309*F309*E309</f>
        <v>27.5152</v>
      </c>
      <c r="I309" s="20"/>
      <c r="J309" s="26" t="s">
        <v>425</v>
      </c>
      <c r="K309" s="21" t="n">
        <f aca="false">G309</f>
        <v>4</v>
      </c>
      <c r="L309" s="3" t="n">
        <f aca="false">K309*F309*E309</f>
        <v>27.5152</v>
      </c>
    </row>
    <row r="310" customFormat="false" ht="15" hidden="false" customHeight="true" outlineLevel="0" collapsed="false">
      <c r="A310" s="15" t="s">
        <v>36</v>
      </c>
      <c r="B310" s="15" t="s">
        <v>610</v>
      </c>
      <c r="C310" s="15" t="s">
        <v>397</v>
      </c>
      <c r="D310" s="16" t="s">
        <v>157</v>
      </c>
      <c r="E310" s="68" t="n">
        <f aca="false">E303</f>
        <v>6.784</v>
      </c>
      <c r="F310" s="24" t="n">
        <v>1</v>
      </c>
      <c r="G310" s="12" t="n">
        <f aca="false">'Dups+ B&amp;B Rates'!$I$3</f>
        <v>0.5</v>
      </c>
      <c r="H310" s="22" t="n">
        <f aca="false">G310*F310*E310</f>
        <v>3.392</v>
      </c>
      <c r="I310" s="20"/>
      <c r="K310" s="23" t="n">
        <f aca="false">Рынок!$D$3</f>
        <v>0.665291730423791</v>
      </c>
      <c r="L310" s="3" t="n">
        <f aca="false">K310*F310*E310</f>
        <v>4.513339099195</v>
      </c>
    </row>
    <row r="311" customFormat="false" ht="15" hidden="false" customHeight="true" outlineLevel="0" collapsed="false">
      <c r="A311" s="15" t="s">
        <v>36</v>
      </c>
      <c r="B311" s="15" t="s">
        <v>611</v>
      </c>
      <c r="C311" s="15" t="s">
        <v>399</v>
      </c>
      <c r="D311" s="16" t="s">
        <v>157</v>
      </c>
      <c r="E311" s="68" t="n">
        <f aca="false">E308</f>
        <v>6.8788</v>
      </c>
      <c r="F311" s="24" t="n">
        <v>1</v>
      </c>
      <c r="G311" s="12" t="n">
        <f aca="false">'Dups+ B&amp;B Rates'!$I$3</f>
        <v>0.5</v>
      </c>
      <c r="H311" s="22" t="n">
        <f aca="false">G311*F311*E311</f>
        <v>3.4394</v>
      </c>
      <c r="I311" s="20"/>
      <c r="K311" s="23" t="n">
        <f aca="false">Рынок!$D$3</f>
        <v>0.665291730423791</v>
      </c>
      <c r="L311" s="3" t="n">
        <f aca="false">K311*F311*E311</f>
        <v>4.57640875523917</v>
      </c>
    </row>
    <row r="312" customFormat="false" ht="15" hidden="false" customHeight="true" outlineLevel="0" collapsed="false">
      <c r="A312" s="15" t="s">
        <v>37</v>
      </c>
      <c r="B312" s="15" t="s">
        <v>496</v>
      </c>
      <c r="C312" s="15" t="s">
        <v>172</v>
      </c>
      <c r="D312" s="16" t="s">
        <v>157</v>
      </c>
      <c r="E312" s="82" t="n">
        <v>12.9</v>
      </c>
      <c r="F312" s="24" t="n">
        <v>1</v>
      </c>
      <c r="G312" s="12" t="n">
        <f aca="false">'Dups+ B&amp;B Rates'!$I$3</f>
        <v>0.5</v>
      </c>
      <c r="H312" s="22" t="n">
        <f aca="false">G312*F312*E312</f>
        <v>6.45</v>
      </c>
      <c r="I312" s="20"/>
      <c r="K312" s="23" t="n">
        <f aca="false">Рынок!$D$3</f>
        <v>0.665291730423791</v>
      </c>
      <c r="L312" s="3" t="n">
        <f aca="false">K312*F312*E312</f>
        <v>8.5822633224669</v>
      </c>
    </row>
    <row r="313" customFormat="false" ht="15" hidden="false" customHeight="true" outlineLevel="0" collapsed="false">
      <c r="A313" s="15" t="s">
        <v>38</v>
      </c>
      <c r="B313" s="15" t="s">
        <v>174</v>
      </c>
      <c r="C313" s="30" t="s">
        <v>174</v>
      </c>
      <c r="D313" s="16" t="s">
        <v>157</v>
      </c>
      <c r="E313" s="82" t="n">
        <f aca="false">(0.68+0.54+0.54+0.55+0.52+0.67)*2.68+(0.33+0.31)*1.84+(0.33+0.31)*2.77+1.82*0.3</f>
        <v>12.8764</v>
      </c>
      <c r="F313" s="24" t="n">
        <v>2</v>
      </c>
      <c r="G313" s="12" t="n">
        <f aca="false">'Dups+ B&amp;B Rates'!$I$18</f>
        <v>1</v>
      </c>
      <c r="H313" s="22" t="n">
        <f aca="false">G313*F313*E313</f>
        <v>25.7528</v>
      </c>
      <c r="I313" s="20"/>
      <c r="K313" s="21" t="n">
        <f aca="false">G313</f>
        <v>1</v>
      </c>
      <c r="L313" s="3" t="n">
        <f aca="false">K313*F313*E313</f>
        <v>25.7528</v>
      </c>
    </row>
    <row r="314" customFormat="false" ht="15" hidden="false" customHeight="true" outlineLevel="0" collapsed="false">
      <c r="A314" s="15" t="s">
        <v>39</v>
      </c>
      <c r="B314" s="15" t="s">
        <v>561</v>
      </c>
      <c r="C314" s="30" t="s">
        <v>307</v>
      </c>
      <c r="D314" s="16" t="s">
        <v>424</v>
      </c>
      <c r="E314" s="82" t="n">
        <f aca="false">2.68*2</f>
        <v>5.36</v>
      </c>
      <c r="F314" s="11" t="n">
        <v>1</v>
      </c>
      <c r="G314" s="12" t="n">
        <f aca="false">'Dups+ B&amp;B Rates'!$I$19</f>
        <v>2</v>
      </c>
      <c r="H314" s="22" t="n">
        <f aca="false">G314*F314*E314</f>
        <v>10.72</v>
      </c>
      <c r="I314" s="20"/>
      <c r="K314" s="21" t="n">
        <f aca="false">G314</f>
        <v>2</v>
      </c>
      <c r="L314" s="3" t="n">
        <f aca="false">K314*F314*E314</f>
        <v>10.72</v>
      </c>
    </row>
    <row r="315" customFormat="false" ht="15" hidden="false" customHeight="true" outlineLevel="0" collapsed="false">
      <c r="A315" s="72" t="s">
        <v>40</v>
      </c>
      <c r="B315" s="15" t="s">
        <v>178</v>
      </c>
      <c r="C315" s="30" t="s">
        <v>178</v>
      </c>
      <c r="D315" s="16" t="s">
        <v>424</v>
      </c>
      <c r="E315" s="82" t="n">
        <f aca="false">(1.84+2.07+2.07)+(2.06+2.06+2.77)+(2.38*2+1.82)</f>
        <v>19.45</v>
      </c>
      <c r="F315" s="24" t="n">
        <v>1</v>
      </c>
      <c r="G315" s="12" t="n">
        <f aca="false">'Dups+ B&amp;B Rates'!$I$31</f>
        <v>15</v>
      </c>
      <c r="H315" s="22" t="n">
        <f aca="false">G315*F315*E315</f>
        <v>291.75</v>
      </c>
      <c r="I315" s="20"/>
      <c r="J315" s="26" t="s">
        <v>502</v>
      </c>
      <c r="K315" s="21" t="n">
        <f aca="false">G315</f>
        <v>15</v>
      </c>
      <c r="L315" s="3" t="n">
        <f aca="false">K315*F315*E315</f>
        <v>291.75</v>
      </c>
    </row>
    <row r="316" customFormat="false" ht="15" hidden="false" customHeight="true" outlineLevel="0" collapsed="false">
      <c r="A316" s="72" t="s">
        <v>40</v>
      </c>
      <c r="B316" s="15" t="s">
        <v>403</v>
      </c>
      <c r="C316" s="30" t="s">
        <v>403</v>
      </c>
      <c r="D316" s="16" t="s">
        <v>157</v>
      </c>
      <c r="E316" s="82" t="n">
        <f aca="false">(1.84+2.07+2.07)*0.28+(2.06+2.06+2.77)*0.28+(2.38*2+1.82)*0.33</f>
        <v>5.775</v>
      </c>
      <c r="F316" s="24" t="n">
        <v>2</v>
      </c>
      <c r="G316" s="12" t="n">
        <f aca="false">'Dups+ B&amp;B Rates'!$I$17</f>
        <v>1.5</v>
      </c>
      <c r="H316" s="22" t="n">
        <f aca="false">G316*F316*E316</f>
        <v>17.325</v>
      </c>
      <c r="I316" s="20"/>
      <c r="K316" s="21" t="n">
        <f aca="false">G316</f>
        <v>1.5</v>
      </c>
      <c r="L316" s="3" t="n">
        <f aca="false">K316*F316*E316</f>
        <v>17.325</v>
      </c>
    </row>
    <row r="317" customFormat="false" ht="15.75" hidden="false" customHeight="true" outlineLevel="0" collapsed="false">
      <c r="F317" s="6" t="n">
        <v>1</v>
      </c>
      <c r="H317" s="22"/>
    </row>
    <row r="318" customFormat="false" ht="15.75" hidden="false" customHeight="true" outlineLevel="0" collapsed="false">
      <c r="F318" s="6" t="n">
        <v>1</v>
      </c>
      <c r="H318" s="22"/>
    </row>
    <row r="319" customFormat="false" ht="15" hidden="false" customHeight="true" outlineLevel="0" collapsed="false">
      <c r="A319" s="15" t="s">
        <v>41</v>
      </c>
      <c r="B319" s="15" t="s">
        <v>612</v>
      </c>
      <c r="C319" s="30" t="s">
        <v>404</v>
      </c>
      <c r="D319" s="16" t="s">
        <v>405</v>
      </c>
      <c r="E319" s="84" t="n">
        <v>1</v>
      </c>
      <c r="F319" s="24" t="n">
        <v>1</v>
      </c>
      <c r="G319" s="12" t="n">
        <f aca="false">'Dups+ B&amp;B Rates'!$I$14</f>
        <v>35</v>
      </c>
      <c r="H319" s="22" t="n">
        <f aca="false">G319*F319*E319</f>
        <v>35</v>
      </c>
      <c r="I319" s="20"/>
      <c r="J319" s="26" t="s">
        <v>613</v>
      </c>
      <c r="K319" s="21" t="n">
        <f aca="false">G319</f>
        <v>35</v>
      </c>
      <c r="L319" s="3" t="n">
        <f aca="false">K319*F319*E319</f>
        <v>35</v>
      </c>
    </row>
    <row r="320" customFormat="false" ht="15" hidden="false" customHeight="true" outlineLevel="0" collapsed="false">
      <c r="A320" s="15" t="s">
        <v>41</v>
      </c>
      <c r="B320" s="15" t="s">
        <v>614</v>
      </c>
      <c r="C320" s="15" t="s">
        <v>407</v>
      </c>
      <c r="D320" s="16" t="s">
        <v>179</v>
      </c>
      <c r="E320" s="82" t="n">
        <f aca="false">12+3+5+11</f>
        <v>31</v>
      </c>
      <c r="F320" s="24" t="n">
        <v>1</v>
      </c>
      <c r="G320" s="12" t="n">
        <f aca="false">'Dups+ B&amp;B Rates'!$I$30</f>
        <v>0.5</v>
      </c>
      <c r="H320" s="22" t="n">
        <f aca="false">G320*F320*E320</f>
        <v>15.5</v>
      </c>
      <c r="I320" s="20"/>
      <c r="K320" s="21" t="n">
        <f aca="false">G320</f>
        <v>0.5</v>
      </c>
      <c r="L320" s="3" t="n">
        <f aca="false">K320*F320*E320</f>
        <v>15.5</v>
      </c>
    </row>
    <row r="321" customFormat="false" ht="15" hidden="false" customHeight="true" outlineLevel="0" collapsed="false">
      <c r="A321" s="15" t="s">
        <v>41</v>
      </c>
      <c r="B321" s="15" t="s">
        <v>615</v>
      </c>
      <c r="C321" s="30" t="s">
        <v>409</v>
      </c>
      <c r="D321" s="16" t="s">
        <v>179</v>
      </c>
      <c r="E321" s="68" t="n">
        <v>1</v>
      </c>
      <c r="F321" s="24" t="n">
        <v>1</v>
      </c>
      <c r="G321" s="12" t="n">
        <f aca="false">'Dups+ B&amp;B Rates'!$I$13</f>
        <v>35</v>
      </c>
      <c r="H321" s="48" t="n">
        <f aca="false">G321*F321*E321</f>
        <v>35</v>
      </c>
      <c r="I321" s="20"/>
      <c r="K321" s="21" t="n">
        <f aca="false">G321</f>
        <v>35</v>
      </c>
      <c r="L321" s="3" t="n">
        <f aca="false">K321*F321*E321</f>
        <v>35</v>
      </c>
    </row>
    <row r="322" customFormat="false" ht="15" hidden="false" customHeight="true" outlineLevel="0" collapsed="false">
      <c r="A322" s="15" t="s">
        <v>41</v>
      </c>
      <c r="B322" s="15" t="s">
        <v>616</v>
      </c>
      <c r="C322" s="30" t="s">
        <v>616</v>
      </c>
      <c r="D322" s="16" t="s">
        <v>179</v>
      </c>
      <c r="E322" s="71"/>
      <c r="F322" s="24" t="n">
        <v>1</v>
      </c>
      <c r="G322" s="12"/>
      <c r="H322" s="22"/>
      <c r="I322" s="20"/>
      <c r="J322" s="1" t="s">
        <v>456</v>
      </c>
    </row>
    <row r="323" customFormat="false" ht="15" hidden="false" customHeight="true" outlineLevel="0" collapsed="false">
      <c r="A323" s="15" t="s">
        <v>41</v>
      </c>
      <c r="B323" s="15" t="s">
        <v>617</v>
      </c>
      <c r="C323" s="30"/>
      <c r="D323" s="85"/>
      <c r="E323" s="86"/>
      <c r="F323" s="24" t="n">
        <v>1</v>
      </c>
      <c r="G323" s="12"/>
      <c r="H323" s="22"/>
      <c r="I323" s="20"/>
      <c r="J323" s="1" t="s">
        <v>456</v>
      </c>
    </row>
    <row r="324" customFormat="false" ht="15" hidden="false" customHeight="true" outlineLevel="0" collapsed="false">
      <c r="A324" s="15" t="s">
        <v>42</v>
      </c>
      <c r="B324" s="15" t="s">
        <v>618</v>
      </c>
      <c r="C324" s="30" t="s">
        <v>411</v>
      </c>
      <c r="D324" s="85" t="s">
        <v>179</v>
      </c>
      <c r="E324" s="86" t="n">
        <v>1</v>
      </c>
      <c r="F324" s="24" t="n">
        <v>1</v>
      </c>
      <c r="G324" s="12" t="n">
        <f aca="false">'Dups+ B&amp;B Rates'!$I$10</f>
        <v>200</v>
      </c>
      <c r="H324" s="22" t="n">
        <f aca="false">G324*F324*E324</f>
        <v>200</v>
      </c>
      <c r="I324" s="20"/>
      <c r="K324" s="21" t="n">
        <f aca="false">G324</f>
        <v>200</v>
      </c>
      <c r="L324" s="3" t="n">
        <f aca="false">K324*F324*E324</f>
        <v>200</v>
      </c>
    </row>
    <row r="325" customFormat="false" ht="15" hidden="false" customHeight="true" outlineLevel="0" collapsed="false">
      <c r="A325" s="15" t="s">
        <v>42</v>
      </c>
      <c r="B325" s="15" t="s">
        <v>619</v>
      </c>
      <c r="C325" s="30"/>
      <c r="D325" s="85" t="s">
        <v>424</v>
      </c>
      <c r="E325" s="86"/>
      <c r="F325" s="24" t="n">
        <v>1</v>
      </c>
      <c r="G325" s="12"/>
      <c r="H325" s="48"/>
      <c r="I325" s="20"/>
      <c r="J325" s="1" t="s">
        <v>456</v>
      </c>
    </row>
    <row r="326" customFormat="false" ht="15" hidden="false" customHeight="true" outlineLevel="0" collapsed="false">
      <c r="A326" s="15" t="s">
        <v>42</v>
      </c>
      <c r="B326" s="15" t="s">
        <v>620</v>
      </c>
      <c r="C326" s="30"/>
      <c r="D326" s="85" t="s">
        <v>424</v>
      </c>
      <c r="E326" s="86"/>
      <c r="F326" s="24" t="n">
        <v>1</v>
      </c>
      <c r="G326" s="12"/>
      <c r="H326" s="48"/>
      <c r="I326" s="20"/>
      <c r="J326" s="1" t="s">
        <v>456</v>
      </c>
    </row>
    <row r="327" customFormat="false" ht="15" hidden="false" customHeight="true" outlineLevel="0" collapsed="false">
      <c r="A327" s="15" t="s">
        <v>43</v>
      </c>
      <c r="B327" s="15" t="s">
        <v>621</v>
      </c>
      <c r="C327" s="30"/>
      <c r="D327" s="85" t="s">
        <v>157</v>
      </c>
      <c r="E327" s="86"/>
      <c r="F327" s="24" t="n">
        <v>1</v>
      </c>
      <c r="G327" s="12"/>
      <c r="H327" s="48"/>
      <c r="I327" s="20"/>
      <c r="J327" s="1" t="s">
        <v>456</v>
      </c>
    </row>
    <row r="328" customFormat="false" ht="15" hidden="false" customHeight="true" outlineLevel="0" collapsed="false">
      <c r="A328" s="15" t="s">
        <v>43</v>
      </c>
      <c r="B328" s="15" t="s">
        <v>622</v>
      </c>
      <c r="C328" s="30"/>
      <c r="D328" s="85" t="s">
        <v>424</v>
      </c>
      <c r="E328" s="86"/>
      <c r="F328" s="24" t="n">
        <v>1</v>
      </c>
      <c r="G328" s="12"/>
      <c r="H328" s="48"/>
      <c r="I328" s="20"/>
      <c r="J328" s="1" t="s">
        <v>456</v>
      </c>
    </row>
    <row r="329" customFormat="false" ht="15" hidden="false" customHeight="true" outlineLevel="0" collapsed="false">
      <c r="A329" s="15" t="s">
        <v>43</v>
      </c>
      <c r="B329" s="15" t="s">
        <v>623</v>
      </c>
      <c r="C329" s="30" t="s">
        <v>307</v>
      </c>
      <c r="D329" s="85" t="s">
        <v>424</v>
      </c>
      <c r="E329" s="86"/>
      <c r="F329" s="24" t="n">
        <v>1</v>
      </c>
      <c r="G329" s="12"/>
      <c r="H329" s="48"/>
      <c r="I329" s="20"/>
      <c r="J329" s="1" t="s">
        <v>456</v>
      </c>
    </row>
    <row r="330" customFormat="false" ht="15.75" hidden="false" customHeight="true" outlineLevel="0" collapsed="false">
      <c r="H330" s="22"/>
    </row>
    <row r="331" customFormat="false" ht="15.75" hidden="false" customHeight="true" outlineLevel="0" collapsed="false">
      <c r="H331" s="22"/>
    </row>
    <row r="332" customFormat="false" ht="15" hidden="false" customHeight="true" outlineLevel="0" collapsed="false">
      <c r="A332" s="87" t="s">
        <v>43</v>
      </c>
      <c r="B332" s="87" t="s">
        <v>231</v>
      </c>
      <c r="C332" s="30"/>
      <c r="D332" s="16" t="s">
        <v>157</v>
      </c>
      <c r="E332" s="79"/>
      <c r="F332" s="24" t="n">
        <v>1</v>
      </c>
      <c r="G332" s="12"/>
      <c r="H332" s="22"/>
      <c r="I332" s="20"/>
      <c r="J332" s="1" t="s">
        <v>456</v>
      </c>
    </row>
    <row r="333" customFormat="false" ht="15" hidden="false" customHeight="true" outlineLevel="0" collapsed="false">
      <c r="A333" s="87" t="s">
        <v>43</v>
      </c>
      <c r="B333" s="87" t="s">
        <v>624</v>
      </c>
      <c r="C333" s="30"/>
      <c r="D333" s="16" t="s">
        <v>424</v>
      </c>
      <c r="E333" s="79"/>
      <c r="F333" s="24" t="n">
        <v>1</v>
      </c>
      <c r="G333" s="12"/>
      <c r="H333" s="22"/>
      <c r="I333" s="20"/>
      <c r="J333" s="1" t="s">
        <v>456</v>
      </c>
    </row>
    <row r="334" customFormat="false" ht="15" hidden="false" customHeight="true" outlineLevel="0" collapsed="false">
      <c r="A334" s="87" t="s">
        <v>43</v>
      </c>
      <c r="B334" s="87" t="s">
        <v>625</v>
      </c>
      <c r="C334" s="30"/>
      <c r="D334" s="16" t="s">
        <v>157</v>
      </c>
      <c r="E334" s="79"/>
      <c r="F334" s="24" t="n">
        <v>1</v>
      </c>
      <c r="G334" s="12"/>
      <c r="H334" s="22"/>
      <c r="I334" s="20"/>
      <c r="J334" s="1" t="s">
        <v>456</v>
      </c>
    </row>
    <row r="335" customFormat="false" ht="15" hidden="false" customHeight="true" outlineLevel="0" collapsed="false">
      <c r="A335" s="87" t="s">
        <v>43</v>
      </c>
      <c r="B335" s="87" t="s">
        <v>626</v>
      </c>
      <c r="C335" s="30"/>
      <c r="D335" s="16" t="s">
        <v>157</v>
      </c>
      <c r="E335" s="79"/>
      <c r="F335" s="24" t="n">
        <v>1</v>
      </c>
      <c r="G335" s="12"/>
      <c r="H335" s="22"/>
      <c r="I335" s="20"/>
      <c r="J335" s="1" t="s">
        <v>456</v>
      </c>
    </row>
    <row r="336" customFormat="false" ht="15" hidden="false" customHeight="true" outlineLevel="0" collapsed="false">
      <c r="A336" s="87" t="s">
        <v>43</v>
      </c>
      <c r="B336" s="87" t="s">
        <v>593</v>
      </c>
      <c r="C336" s="30"/>
      <c r="D336" s="16" t="s">
        <v>157</v>
      </c>
      <c r="E336" s="79"/>
      <c r="F336" s="24" t="n">
        <v>1</v>
      </c>
      <c r="G336" s="12"/>
      <c r="H336" s="22"/>
      <c r="I336" s="20"/>
      <c r="J336" s="1" t="s">
        <v>456</v>
      </c>
    </row>
    <row r="337" customFormat="false" ht="15" hidden="false" customHeight="true" outlineLevel="0" collapsed="false">
      <c r="A337" s="87" t="s">
        <v>43</v>
      </c>
      <c r="B337" s="87" t="s">
        <v>627</v>
      </c>
      <c r="C337" s="30"/>
      <c r="D337" s="16" t="s">
        <v>424</v>
      </c>
      <c r="E337" s="79"/>
      <c r="F337" s="24" t="n">
        <v>1</v>
      </c>
      <c r="G337" s="12"/>
      <c r="H337" s="22"/>
      <c r="I337" s="20"/>
      <c r="J337" s="1" t="s">
        <v>456</v>
      </c>
    </row>
    <row r="338" customFormat="false" ht="15.75" hidden="false" customHeight="true" outlineLevel="0" collapsed="false">
      <c r="H338" s="22"/>
    </row>
    <row r="339" customFormat="false" ht="15.75" hidden="false" customHeight="true" outlineLevel="0" collapsed="false">
      <c r="H339" s="22"/>
    </row>
    <row r="340" customFormat="false" ht="15.75" hidden="false" customHeight="true" outlineLevel="0" collapsed="false">
      <c r="H340" s="22"/>
    </row>
    <row r="341" customFormat="false" ht="15.75" hidden="false" customHeight="true" outlineLevel="0" collapsed="false">
      <c r="H341" s="22"/>
    </row>
    <row r="342" customFormat="false" ht="15.75" hidden="false" customHeight="true" outlineLevel="0" collapsed="false">
      <c r="H342" s="22"/>
    </row>
    <row r="343" customFormat="false" ht="15.75" hidden="false" customHeight="true" outlineLevel="0" collapsed="false">
      <c r="H343" s="22"/>
    </row>
    <row r="344" customFormat="false" ht="15.75" hidden="false" customHeight="true" outlineLevel="0" collapsed="false">
      <c r="H344" s="22"/>
    </row>
    <row r="345" customFormat="false" ht="15.75" hidden="false" customHeight="true" outlineLevel="0" collapsed="false">
      <c r="H345" s="22"/>
    </row>
    <row r="346" customFormat="false" ht="15.75" hidden="false" customHeight="true" outlineLevel="0" collapsed="false">
      <c r="H346" s="22"/>
    </row>
    <row r="347" customFormat="false" ht="15.75" hidden="false" customHeight="true" outlineLevel="0" collapsed="false">
      <c r="H347" s="22"/>
    </row>
    <row r="348" customFormat="false" ht="15.75" hidden="false" customHeight="true" outlineLevel="0" collapsed="false">
      <c r="H348" s="22"/>
    </row>
    <row r="349" customFormat="false" ht="15.75" hidden="false" customHeight="true" outlineLevel="0" collapsed="false">
      <c r="H349" s="22"/>
    </row>
    <row r="350" customFormat="false" ht="15.75" hidden="false" customHeight="true" outlineLevel="0" collapsed="false">
      <c r="H350" s="22"/>
    </row>
    <row r="351" customFormat="false" ht="15.75" hidden="false" customHeight="true" outlineLevel="0" collapsed="false">
      <c r="H351" s="22"/>
    </row>
    <row r="352" customFormat="false" ht="15.75" hidden="false" customHeight="true" outlineLevel="0" collapsed="false">
      <c r="H352" s="22"/>
    </row>
    <row r="353" customFormat="false" ht="15.75" hidden="false" customHeight="true" outlineLevel="0" collapsed="false">
      <c r="H353" s="22"/>
    </row>
    <row r="354" customFormat="false" ht="15.75" hidden="false" customHeight="true" outlineLevel="0" collapsed="false">
      <c r="H354" s="22"/>
    </row>
    <row r="355" customFormat="false" ht="15.75" hidden="false" customHeight="true" outlineLevel="0" collapsed="false">
      <c r="H355" s="22"/>
    </row>
    <row r="356" customFormat="false" ht="15.75" hidden="false" customHeight="true" outlineLevel="0" collapsed="false">
      <c r="H356" s="22"/>
    </row>
    <row r="357" customFormat="false" ht="15.75" hidden="false" customHeight="true" outlineLevel="0" collapsed="false">
      <c r="H357" s="22"/>
    </row>
    <row r="358" customFormat="false" ht="15.75" hidden="false" customHeight="true" outlineLevel="0" collapsed="false">
      <c r="H358" s="22"/>
    </row>
    <row r="359" customFormat="false" ht="15.75" hidden="false" customHeight="true" outlineLevel="0" collapsed="false">
      <c r="H359" s="22"/>
    </row>
    <row r="360" customFormat="false" ht="15.75" hidden="false" customHeight="true" outlineLevel="0" collapsed="false">
      <c r="H360" s="22"/>
    </row>
    <row r="361" customFormat="false" ht="15.75" hidden="false" customHeight="true" outlineLevel="0" collapsed="false">
      <c r="H361" s="22"/>
    </row>
    <row r="362" customFormat="false" ht="15.75" hidden="false" customHeight="true" outlineLevel="0" collapsed="false">
      <c r="H362" s="22"/>
    </row>
    <row r="363" customFormat="false" ht="15.75" hidden="false" customHeight="true" outlineLevel="0" collapsed="false">
      <c r="H363" s="22"/>
    </row>
    <row r="364" customFormat="false" ht="15.75" hidden="false" customHeight="true" outlineLevel="0" collapsed="false">
      <c r="H364" s="22"/>
    </row>
    <row r="365" customFormat="false" ht="15.75" hidden="false" customHeight="true" outlineLevel="0" collapsed="false">
      <c r="H365" s="22"/>
    </row>
    <row r="366" customFormat="false" ht="15.75" hidden="false" customHeight="true" outlineLevel="0" collapsed="false">
      <c r="H366" s="22"/>
    </row>
    <row r="367" customFormat="false" ht="15.75" hidden="false" customHeight="true" outlineLevel="0" collapsed="false">
      <c r="H367" s="22"/>
    </row>
    <row r="368" customFormat="false" ht="15.75" hidden="false" customHeight="true" outlineLevel="0" collapsed="false">
      <c r="H368" s="22"/>
    </row>
    <row r="369" customFormat="false" ht="15.75" hidden="false" customHeight="true" outlineLevel="0" collapsed="false">
      <c r="H369" s="22"/>
    </row>
    <row r="370" customFormat="false" ht="15.75" hidden="false" customHeight="true" outlineLevel="0" collapsed="false">
      <c r="H370" s="22"/>
    </row>
    <row r="371" customFormat="false" ht="15.75" hidden="false" customHeight="true" outlineLevel="0" collapsed="false">
      <c r="H371" s="22"/>
    </row>
    <row r="372" customFormat="false" ht="15.75" hidden="false" customHeight="true" outlineLevel="0" collapsed="false">
      <c r="H372" s="22"/>
    </row>
    <row r="373" customFormat="false" ht="15.75" hidden="false" customHeight="true" outlineLevel="0" collapsed="false">
      <c r="H373" s="22"/>
    </row>
    <row r="374" customFormat="false" ht="15.75" hidden="false" customHeight="true" outlineLevel="0" collapsed="false">
      <c r="H374" s="22"/>
    </row>
    <row r="375" customFormat="false" ht="15.75" hidden="false" customHeight="true" outlineLevel="0" collapsed="false">
      <c r="H375" s="22"/>
    </row>
    <row r="376" customFormat="false" ht="15" hidden="false" customHeight="true" outlineLevel="0" collapsed="false">
      <c r="G376" s="12"/>
      <c r="H376" s="22"/>
    </row>
    <row r="377" customFormat="false" ht="15.75" hidden="false" customHeight="true" outlineLevel="0" collapsed="false">
      <c r="H377" s="22"/>
    </row>
    <row r="378" customFormat="false" ht="15.75" hidden="false" customHeight="true" outlineLevel="0" collapsed="false">
      <c r="H378" s="22"/>
    </row>
    <row r="379" customFormat="false" ht="15.75" hidden="false" customHeight="true" outlineLevel="0" collapsed="false">
      <c r="H379" s="22"/>
    </row>
    <row r="380" customFormat="false" ht="15.75" hidden="false" customHeight="true" outlineLevel="0" collapsed="false">
      <c r="H380" s="22"/>
    </row>
    <row r="381" customFormat="false" ht="15.75" hidden="false" customHeight="true" outlineLevel="0" collapsed="false">
      <c r="H381" s="22"/>
    </row>
    <row r="382" customFormat="false" ht="15.75" hidden="false" customHeight="true" outlineLevel="0" collapsed="false">
      <c r="H382" s="22"/>
    </row>
    <row r="383" customFormat="false" ht="15.75" hidden="false" customHeight="true" outlineLevel="0" collapsed="false">
      <c r="H383" s="22"/>
    </row>
    <row r="384" customFormat="false" ht="15.75" hidden="false" customHeight="true" outlineLevel="0" collapsed="false">
      <c r="H384" s="22"/>
    </row>
    <row r="385" customFormat="false" ht="15.75" hidden="false" customHeight="true" outlineLevel="0" collapsed="false">
      <c r="H385" s="22"/>
    </row>
    <row r="386" customFormat="false" ht="15.75" hidden="false" customHeight="true" outlineLevel="0" collapsed="false">
      <c r="H386" s="22"/>
    </row>
    <row r="387" customFormat="false" ht="15.75" hidden="false" customHeight="true" outlineLevel="0" collapsed="false">
      <c r="H387" s="22"/>
    </row>
    <row r="388" customFormat="false" ht="15.75" hidden="false" customHeight="true" outlineLevel="0" collapsed="false">
      <c r="H388" s="22"/>
    </row>
    <row r="389" customFormat="false" ht="15.75" hidden="false" customHeight="true" outlineLevel="0" collapsed="false">
      <c r="H389" s="22"/>
    </row>
    <row r="390" customFormat="false" ht="15.75" hidden="false" customHeight="true" outlineLevel="0" collapsed="false">
      <c r="H390" s="22"/>
    </row>
    <row r="391" customFormat="false" ht="15.75" hidden="false" customHeight="true" outlineLevel="0" collapsed="false">
      <c r="H391" s="22"/>
    </row>
    <row r="392" customFormat="false" ht="15.75" hidden="false" customHeight="true" outlineLevel="0" collapsed="false">
      <c r="H392" s="22"/>
    </row>
    <row r="393" customFormat="false" ht="15.75" hidden="false" customHeight="true" outlineLevel="0" collapsed="false">
      <c r="H393" s="22"/>
    </row>
    <row r="394" customFormat="false" ht="15.75" hidden="false" customHeight="true" outlineLevel="0" collapsed="false">
      <c r="H394" s="22"/>
    </row>
    <row r="395" customFormat="false" ht="15.75" hidden="false" customHeight="true" outlineLevel="0" collapsed="false">
      <c r="H395" s="22"/>
    </row>
    <row r="396" customFormat="false" ht="15.75" hidden="false" customHeight="true" outlineLevel="0" collapsed="false">
      <c r="H396" s="22"/>
    </row>
    <row r="397" customFormat="false" ht="15.75" hidden="false" customHeight="true" outlineLevel="0" collapsed="false">
      <c r="H397" s="22"/>
    </row>
    <row r="398" customFormat="false" ht="15.75" hidden="false" customHeight="true" outlineLevel="0" collapsed="false">
      <c r="H398" s="22"/>
    </row>
    <row r="399" customFormat="false" ht="15.75" hidden="false" customHeight="true" outlineLevel="0" collapsed="false">
      <c r="H399" s="22"/>
    </row>
    <row r="400" customFormat="false" ht="15.75" hidden="false" customHeight="true" outlineLevel="0" collapsed="false">
      <c r="H400" s="22"/>
    </row>
    <row r="401" customFormat="false" ht="15.75" hidden="false" customHeight="true" outlineLevel="0" collapsed="false">
      <c r="H401" s="22"/>
    </row>
    <row r="402" customFormat="false" ht="15.75" hidden="false" customHeight="true" outlineLevel="0" collapsed="false">
      <c r="H402" s="22"/>
    </row>
    <row r="403" customFormat="false" ht="15" hidden="false" customHeight="true" outlineLevel="0" collapsed="false">
      <c r="C403" s="88"/>
      <c r="D403" s="89"/>
      <c r="E403" s="71"/>
      <c r="F403" s="24"/>
      <c r="G403" s="90"/>
      <c r="H403" s="22"/>
      <c r="I403" s="20"/>
    </row>
    <row r="404" customFormat="false" ht="15" hidden="false" customHeight="true" outlineLevel="0" collapsed="false">
      <c r="C404" s="88"/>
      <c r="D404" s="89"/>
      <c r="E404" s="71"/>
      <c r="F404" s="24"/>
      <c r="G404" s="90"/>
      <c r="H404" s="22"/>
      <c r="I404" s="20"/>
    </row>
    <row r="405" customFormat="false" ht="15" hidden="false" customHeight="true" outlineLevel="0" collapsed="false">
      <c r="C405" s="88"/>
      <c r="D405" s="89"/>
      <c r="E405" s="71"/>
      <c r="F405" s="24"/>
      <c r="G405" s="90"/>
      <c r="H405" s="22"/>
      <c r="I405" s="20"/>
    </row>
    <row r="406" customFormat="false" ht="15" hidden="false" customHeight="true" outlineLevel="0" collapsed="false">
      <c r="C406" s="88"/>
      <c r="D406" s="89"/>
      <c r="E406" s="71"/>
      <c r="F406" s="24"/>
      <c r="G406" s="90"/>
      <c r="H406" s="22"/>
      <c r="I406" s="20"/>
    </row>
    <row r="407" customFormat="false" ht="15" hidden="false" customHeight="true" outlineLevel="0" collapsed="false">
      <c r="C407" s="88"/>
      <c r="D407" s="89"/>
      <c r="E407" s="71"/>
      <c r="F407" s="24"/>
      <c r="G407" s="90"/>
      <c r="H407" s="22"/>
      <c r="I407" s="20"/>
    </row>
    <row r="408" customFormat="false" ht="15" hidden="false" customHeight="true" outlineLevel="0" collapsed="false">
      <c r="C408" s="88"/>
      <c r="D408" s="89"/>
      <c r="E408" s="71"/>
      <c r="F408" s="24"/>
      <c r="G408" s="90"/>
      <c r="H408" s="22"/>
      <c r="I408" s="20"/>
    </row>
    <row r="409" customFormat="false" ht="12.75" hidden="false" customHeight="true" outlineLevel="0" collapsed="false">
      <c r="C409" s="88"/>
      <c r="D409" s="89"/>
      <c r="E409" s="71"/>
      <c r="F409" s="11"/>
      <c r="G409" s="90"/>
      <c r="H409" s="22"/>
      <c r="I409" s="20"/>
    </row>
    <row r="410" customFormat="false" ht="12.75" hidden="false" customHeight="true" outlineLevel="0" collapsed="false">
      <c r="C410" s="88"/>
      <c r="D410" s="89"/>
      <c r="E410" s="71"/>
      <c r="F410" s="11"/>
      <c r="G410" s="90"/>
      <c r="H410" s="22"/>
      <c r="I410" s="20"/>
    </row>
    <row r="411" customFormat="false" ht="12.75" hidden="false" customHeight="true" outlineLevel="0" collapsed="false">
      <c r="C411" s="88"/>
      <c r="D411" s="89"/>
      <c r="E411" s="71"/>
      <c r="F411" s="11"/>
      <c r="G411" s="90"/>
      <c r="H411" s="22"/>
      <c r="I411" s="20"/>
    </row>
    <row r="412" customFormat="false" ht="12.75" hidden="false" customHeight="true" outlineLevel="0" collapsed="false">
      <c r="C412" s="88"/>
      <c r="D412" s="89"/>
      <c r="E412" s="71"/>
      <c r="F412" s="11"/>
      <c r="G412" s="90"/>
      <c r="H412" s="22"/>
      <c r="I412" s="20"/>
    </row>
    <row r="413" customFormat="false" ht="12.75" hidden="false" customHeight="true" outlineLevel="0" collapsed="false">
      <c r="C413" s="88"/>
      <c r="D413" s="89"/>
      <c r="E413" s="71"/>
      <c r="F413" s="11"/>
      <c r="G413" s="90"/>
      <c r="H413" s="22"/>
      <c r="I413" s="20"/>
    </row>
    <row r="414" customFormat="false" ht="12.75" hidden="false" customHeight="true" outlineLevel="0" collapsed="false">
      <c r="C414" s="88"/>
      <c r="D414" s="89"/>
      <c r="E414" s="71"/>
      <c r="F414" s="11"/>
      <c r="G414" s="90"/>
      <c r="H414" s="22"/>
      <c r="I414" s="20"/>
    </row>
    <row r="415" customFormat="false" ht="12.75" hidden="false" customHeight="true" outlineLevel="0" collapsed="false">
      <c r="C415" s="88"/>
      <c r="D415" s="89"/>
      <c r="E415" s="71"/>
      <c r="F415" s="11"/>
      <c r="G415" s="90"/>
      <c r="H415" s="22"/>
      <c r="I415" s="20"/>
    </row>
    <row r="416" customFormat="false" ht="12.75" hidden="false" customHeight="true" outlineLevel="0" collapsed="false">
      <c r="C416" s="88"/>
      <c r="D416" s="89"/>
      <c r="E416" s="71"/>
      <c r="F416" s="11"/>
      <c r="G416" s="90"/>
      <c r="H416" s="22"/>
      <c r="I416" s="20"/>
    </row>
    <row r="417" customFormat="false" ht="12.75" hidden="false" customHeight="true" outlineLevel="0" collapsed="false">
      <c r="C417" s="88"/>
      <c r="D417" s="89"/>
      <c r="E417" s="71"/>
      <c r="F417" s="11"/>
      <c r="G417" s="90"/>
      <c r="H417" s="22"/>
      <c r="I417" s="20"/>
    </row>
    <row r="418" customFormat="false" ht="12.75" hidden="false" customHeight="true" outlineLevel="0" collapsed="false">
      <c r="C418" s="88"/>
      <c r="D418" s="89"/>
      <c r="E418" s="71"/>
      <c r="F418" s="11"/>
      <c r="G418" s="90"/>
      <c r="I418" s="20"/>
    </row>
    <row r="419" customFormat="false" ht="12.75" hidden="false" customHeight="true" outlineLevel="0" collapsed="false">
      <c r="C419" s="88"/>
      <c r="D419" s="89"/>
      <c r="E419" s="71"/>
      <c r="F419" s="11"/>
      <c r="G419" s="90"/>
      <c r="I419" s="20"/>
    </row>
    <row r="420" customFormat="false" ht="12.75" hidden="false" customHeight="true" outlineLevel="0" collapsed="false">
      <c r="C420" s="88"/>
      <c r="D420" s="89"/>
      <c r="E420" s="71"/>
      <c r="F420" s="11"/>
      <c r="G420" s="90"/>
      <c r="I420" s="20"/>
    </row>
    <row r="421" customFormat="false" ht="12.75" hidden="false" customHeight="true" outlineLevel="0" collapsed="false">
      <c r="C421" s="88"/>
      <c r="D421" s="89"/>
      <c r="E421" s="71"/>
      <c r="F421" s="11"/>
      <c r="G421" s="90"/>
      <c r="I421" s="20"/>
    </row>
    <row r="422" customFormat="false" ht="12.75" hidden="false" customHeight="true" outlineLevel="0" collapsed="false">
      <c r="C422" s="88"/>
      <c r="D422" s="89"/>
      <c r="E422" s="71"/>
      <c r="F422" s="11"/>
      <c r="G422" s="90"/>
      <c r="I422" s="20"/>
    </row>
    <row r="423" customFormat="false" ht="12.75" hidden="false" customHeight="true" outlineLevel="0" collapsed="false">
      <c r="C423" s="88"/>
      <c r="D423" s="89"/>
      <c r="E423" s="71"/>
      <c r="F423" s="11"/>
      <c r="G423" s="90"/>
      <c r="I423" s="20"/>
    </row>
    <row r="424" customFormat="false" ht="12.75" hidden="false" customHeight="true" outlineLevel="0" collapsed="false">
      <c r="C424" s="88"/>
      <c r="D424" s="89"/>
      <c r="E424" s="71"/>
      <c r="F424" s="11"/>
      <c r="G424" s="90"/>
      <c r="I424" s="20"/>
    </row>
    <row r="425" customFormat="false" ht="12.75" hidden="false" customHeight="true" outlineLevel="0" collapsed="false">
      <c r="C425" s="88"/>
      <c r="D425" s="89"/>
      <c r="E425" s="71"/>
      <c r="F425" s="11"/>
      <c r="G425" s="90"/>
      <c r="I425" s="20"/>
    </row>
    <row r="426" customFormat="false" ht="12.75" hidden="false" customHeight="true" outlineLevel="0" collapsed="false">
      <c r="C426" s="88"/>
      <c r="D426" s="89"/>
      <c r="E426" s="71"/>
      <c r="F426" s="11"/>
      <c r="G426" s="90"/>
      <c r="I426" s="20"/>
    </row>
    <row r="427" customFormat="false" ht="12.75" hidden="false" customHeight="true" outlineLevel="0" collapsed="false">
      <c r="C427" s="88"/>
      <c r="D427" s="89"/>
      <c r="E427" s="71"/>
      <c r="F427" s="11"/>
      <c r="G427" s="90"/>
      <c r="I427" s="20"/>
    </row>
    <row r="428" customFormat="false" ht="12.75" hidden="false" customHeight="true" outlineLevel="0" collapsed="false">
      <c r="C428" s="88"/>
      <c r="D428" s="89"/>
      <c r="E428" s="71"/>
      <c r="F428" s="11"/>
      <c r="G428" s="90"/>
      <c r="H428" s="89"/>
      <c r="I428" s="91"/>
    </row>
    <row r="429" customFormat="false" ht="12.75" hidden="false" customHeight="true" outlineLevel="0" collapsed="false">
      <c r="C429" s="88"/>
      <c r="D429" s="89"/>
      <c r="E429" s="71"/>
      <c r="F429" s="11"/>
      <c r="G429" s="90"/>
      <c r="H429" s="89"/>
      <c r="I429" s="91"/>
    </row>
    <row r="430" customFormat="false" ht="12.75" hidden="false" customHeight="true" outlineLevel="0" collapsed="false">
      <c r="C430" s="88"/>
      <c r="D430" s="89"/>
      <c r="E430" s="71"/>
      <c r="F430" s="11"/>
      <c r="G430" s="90"/>
      <c r="H430" s="89"/>
      <c r="I430" s="91"/>
    </row>
    <row r="431" customFormat="false" ht="12.75" hidden="false" customHeight="true" outlineLevel="0" collapsed="false">
      <c r="C431" s="88"/>
      <c r="D431" s="89"/>
      <c r="E431" s="71"/>
      <c r="F431" s="11"/>
      <c r="G431" s="90"/>
      <c r="H431" s="89"/>
      <c r="I431" s="91"/>
    </row>
    <row r="432" customFormat="false" ht="12.75" hidden="false" customHeight="true" outlineLevel="0" collapsed="false">
      <c r="C432" s="88"/>
      <c r="D432" s="89"/>
      <c r="E432" s="71"/>
      <c r="F432" s="11"/>
      <c r="G432" s="90"/>
      <c r="H432" s="89"/>
      <c r="I432" s="91"/>
    </row>
    <row r="433" customFormat="false" ht="12.75" hidden="false" customHeight="true" outlineLevel="0" collapsed="false">
      <c r="C433" s="88"/>
      <c r="D433" s="89"/>
      <c r="E433" s="71"/>
      <c r="F433" s="11"/>
      <c r="G433" s="90"/>
      <c r="H433" s="89"/>
      <c r="I433" s="91"/>
    </row>
    <row r="434" customFormat="false" ht="12.75" hidden="false" customHeight="true" outlineLevel="0" collapsed="false">
      <c r="C434" s="88"/>
      <c r="D434" s="89"/>
      <c r="E434" s="71"/>
      <c r="F434" s="11"/>
      <c r="G434" s="90"/>
      <c r="H434" s="89"/>
      <c r="I434" s="91"/>
    </row>
    <row r="435" customFormat="false" ht="12.75" hidden="false" customHeight="true" outlineLevel="0" collapsed="false">
      <c r="C435" s="88"/>
      <c r="D435" s="89"/>
      <c r="E435" s="71"/>
      <c r="F435" s="11"/>
      <c r="G435" s="90"/>
      <c r="H435" s="89"/>
      <c r="I435" s="91"/>
    </row>
    <row r="436" customFormat="false" ht="12.75" hidden="false" customHeight="true" outlineLevel="0" collapsed="false">
      <c r="C436" s="88"/>
      <c r="D436" s="89"/>
      <c r="E436" s="71"/>
      <c r="F436" s="11"/>
      <c r="G436" s="90"/>
      <c r="H436" s="89"/>
      <c r="I436" s="91"/>
    </row>
    <row r="437" customFormat="false" ht="12.75" hidden="false" customHeight="true" outlineLevel="0" collapsed="false">
      <c r="C437" s="88"/>
      <c r="D437" s="89"/>
      <c r="E437" s="71"/>
      <c r="F437" s="11"/>
      <c r="G437" s="90"/>
      <c r="H437" s="89"/>
      <c r="I437" s="91"/>
    </row>
    <row r="438" customFormat="false" ht="12.75" hidden="false" customHeight="true" outlineLevel="0" collapsed="false">
      <c r="C438" s="88"/>
      <c r="D438" s="89"/>
      <c r="E438" s="71"/>
      <c r="F438" s="11"/>
      <c r="G438" s="90"/>
      <c r="H438" s="89"/>
      <c r="I438" s="91"/>
    </row>
    <row r="439" customFormat="false" ht="12.75" hidden="false" customHeight="true" outlineLevel="0" collapsed="false">
      <c r="C439" s="88"/>
      <c r="D439" s="89"/>
      <c r="E439" s="71"/>
      <c r="F439" s="11"/>
      <c r="G439" s="90"/>
      <c r="H439" s="89"/>
      <c r="I439" s="91"/>
    </row>
    <row r="440" customFormat="false" ht="12.75" hidden="false" customHeight="true" outlineLevel="0" collapsed="false">
      <c r="C440" s="88"/>
      <c r="D440" s="89"/>
      <c r="E440" s="71"/>
      <c r="F440" s="11"/>
      <c r="G440" s="90"/>
      <c r="H440" s="89"/>
      <c r="I440" s="91"/>
    </row>
    <row r="441" customFormat="false" ht="12.75" hidden="false" customHeight="true" outlineLevel="0" collapsed="false">
      <c r="C441" s="88"/>
      <c r="D441" s="89"/>
      <c r="E441" s="71"/>
      <c r="F441" s="11"/>
      <c r="G441" s="90"/>
      <c r="H441" s="89"/>
      <c r="I441" s="91"/>
    </row>
    <row r="442" customFormat="false" ht="12.75" hidden="false" customHeight="true" outlineLevel="0" collapsed="false">
      <c r="C442" s="88"/>
      <c r="D442" s="89"/>
      <c r="E442" s="71"/>
      <c r="F442" s="11"/>
      <c r="G442" s="90"/>
      <c r="H442" s="89"/>
      <c r="I442" s="91"/>
    </row>
    <row r="443" customFormat="false" ht="12.75" hidden="false" customHeight="true" outlineLevel="0" collapsed="false">
      <c r="C443" s="88"/>
      <c r="D443" s="89"/>
      <c r="E443" s="71"/>
      <c r="F443" s="11"/>
      <c r="G443" s="90"/>
      <c r="H443" s="89"/>
      <c r="I443" s="91"/>
    </row>
    <row r="444" customFormat="false" ht="12.75" hidden="false" customHeight="true" outlineLevel="0" collapsed="false">
      <c r="C444" s="88"/>
      <c r="D444" s="89"/>
      <c r="E444" s="71"/>
      <c r="F444" s="11"/>
      <c r="G444" s="90"/>
      <c r="H444" s="89"/>
      <c r="I444" s="91"/>
    </row>
    <row r="445" customFormat="false" ht="12.75" hidden="false" customHeight="true" outlineLevel="0" collapsed="false">
      <c r="C445" s="88"/>
      <c r="D445" s="89"/>
      <c r="E445" s="71"/>
      <c r="F445" s="11"/>
      <c r="G445" s="90"/>
      <c r="H445" s="89"/>
      <c r="I445" s="91"/>
    </row>
    <row r="446" customFormat="false" ht="12.75" hidden="false" customHeight="true" outlineLevel="0" collapsed="false">
      <c r="C446" s="88"/>
      <c r="D446" s="89"/>
      <c r="E446" s="71"/>
      <c r="F446" s="11"/>
      <c r="G446" s="90"/>
      <c r="H446" s="89"/>
      <c r="I446" s="91"/>
    </row>
    <row r="447" customFormat="false" ht="12.75" hidden="false" customHeight="true" outlineLevel="0" collapsed="false">
      <c r="C447" s="88"/>
      <c r="D447" s="89"/>
      <c r="E447" s="71"/>
      <c r="F447" s="11"/>
      <c r="G447" s="90"/>
      <c r="H447" s="89"/>
      <c r="I447" s="91"/>
    </row>
    <row r="448" customFormat="false" ht="12.75" hidden="false" customHeight="true" outlineLevel="0" collapsed="false">
      <c r="C448" s="88"/>
      <c r="D448" s="89"/>
      <c r="E448" s="71"/>
      <c r="F448" s="11"/>
      <c r="G448" s="90"/>
      <c r="H448" s="89"/>
      <c r="I448" s="91"/>
    </row>
    <row r="449" customFormat="false" ht="12.75" hidden="false" customHeight="true" outlineLevel="0" collapsed="false">
      <c r="C449" s="88"/>
      <c r="D449" s="89"/>
      <c r="E449" s="71"/>
      <c r="F449" s="11"/>
      <c r="G449" s="90"/>
      <c r="H449" s="89"/>
      <c r="I449" s="91"/>
    </row>
    <row r="450" customFormat="false" ht="12.75" hidden="false" customHeight="true" outlineLevel="0" collapsed="false">
      <c r="C450" s="88"/>
      <c r="D450" s="89"/>
      <c r="E450" s="71"/>
      <c r="F450" s="11"/>
      <c r="G450" s="90"/>
      <c r="H450" s="89"/>
      <c r="I450" s="91"/>
    </row>
    <row r="451" customFormat="false" ht="12.75" hidden="false" customHeight="true" outlineLevel="0" collapsed="false">
      <c r="C451" s="88"/>
      <c r="D451" s="89"/>
      <c r="E451" s="71"/>
      <c r="F451" s="11"/>
      <c r="G451" s="90"/>
      <c r="H451" s="89"/>
      <c r="I451" s="91"/>
    </row>
    <row r="452" customFormat="false" ht="12.75" hidden="false" customHeight="true" outlineLevel="0" collapsed="false">
      <c r="C452" s="88"/>
      <c r="D452" s="89"/>
      <c r="E452" s="71"/>
      <c r="F452" s="11"/>
      <c r="G452" s="90"/>
      <c r="H452" s="89"/>
      <c r="I452" s="91"/>
    </row>
    <row r="453" customFormat="false" ht="12.75" hidden="false" customHeight="true" outlineLevel="0" collapsed="false">
      <c r="C453" s="88"/>
      <c r="D453" s="89"/>
      <c r="E453" s="71"/>
      <c r="F453" s="11"/>
      <c r="G453" s="90"/>
      <c r="H453" s="89"/>
      <c r="I453" s="91"/>
    </row>
    <row r="454" customFormat="false" ht="12.75" hidden="false" customHeight="true" outlineLevel="0" collapsed="false">
      <c r="C454" s="88"/>
      <c r="D454" s="89"/>
      <c r="E454" s="71"/>
      <c r="F454" s="11"/>
      <c r="G454" s="90"/>
      <c r="H454" s="89"/>
      <c r="I454" s="91"/>
    </row>
    <row r="455" customFormat="false" ht="12.75" hidden="false" customHeight="true" outlineLevel="0" collapsed="false">
      <c r="C455" s="88"/>
      <c r="D455" s="89"/>
      <c r="E455" s="71"/>
      <c r="F455" s="11"/>
      <c r="G455" s="90"/>
      <c r="H455" s="89"/>
      <c r="I455" s="91"/>
    </row>
    <row r="456" customFormat="false" ht="12.75" hidden="false" customHeight="true" outlineLevel="0" collapsed="false">
      <c r="C456" s="88"/>
      <c r="D456" s="89"/>
      <c r="E456" s="71"/>
      <c r="F456" s="11"/>
      <c r="G456" s="90"/>
      <c r="H456" s="89"/>
      <c r="I456" s="91"/>
    </row>
    <row r="457" customFormat="false" ht="12.75" hidden="false" customHeight="true" outlineLevel="0" collapsed="false">
      <c r="C457" s="88"/>
      <c r="D457" s="89"/>
      <c r="E457" s="71"/>
      <c r="F457" s="11"/>
      <c r="G457" s="90"/>
      <c r="H457" s="89"/>
      <c r="I457" s="91"/>
    </row>
    <row r="458" customFormat="false" ht="12.75" hidden="false" customHeight="true" outlineLevel="0" collapsed="false">
      <c r="C458" s="88"/>
      <c r="D458" s="89"/>
      <c r="E458" s="71"/>
      <c r="F458" s="11"/>
      <c r="G458" s="90"/>
      <c r="H458" s="89"/>
      <c r="I458" s="91"/>
    </row>
    <row r="459" customFormat="false" ht="12.75" hidden="false" customHeight="true" outlineLevel="0" collapsed="false">
      <c r="C459" s="88"/>
      <c r="D459" s="89"/>
      <c r="E459" s="71"/>
      <c r="F459" s="11"/>
      <c r="G459" s="90"/>
      <c r="H459" s="89"/>
      <c r="I459" s="91"/>
    </row>
    <row r="460" customFormat="false" ht="12.75" hidden="false" customHeight="true" outlineLevel="0" collapsed="false">
      <c r="C460" s="88"/>
      <c r="D460" s="89"/>
      <c r="E460" s="71"/>
      <c r="F460" s="11"/>
      <c r="G460" s="90"/>
      <c r="H460" s="89"/>
      <c r="I460" s="91"/>
    </row>
    <row r="461" customFormat="false" ht="12.75" hidden="false" customHeight="true" outlineLevel="0" collapsed="false">
      <c r="C461" s="88"/>
      <c r="D461" s="89"/>
      <c r="E461" s="71"/>
      <c r="F461" s="11"/>
      <c r="G461" s="90"/>
      <c r="H461" s="89"/>
      <c r="I461" s="91"/>
    </row>
    <row r="462" customFormat="false" ht="12.75" hidden="false" customHeight="true" outlineLevel="0" collapsed="false">
      <c r="C462" s="88"/>
      <c r="D462" s="89"/>
      <c r="E462" s="71"/>
      <c r="F462" s="11"/>
      <c r="G462" s="90"/>
      <c r="H462" s="89"/>
      <c r="I462" s="91"/>
    </row>
    <row r="463" customFormat="false" ht="12.75" hidden="false" customHeight="true" outlineLevel="0" collapsed="false">
      <c r="C463" s="88"/>
      <c r="D463" s="89"/>
      <c r="E463" s="71"/>
      <c r="F463" s="11"/>
      <c r="G463" s="90"/>
      <c r="H463" s="89"/>
      <c r="I463" s="91"/>
    </row>
    <row r="464" customFormat="false" ht="12.75" hidden="false" customHeight="true" outlineLevel="0" collapsed="false">
      <c r="C464" s="88"/>
      <c r="D464" s="89"/>
      <c r="E464" s="71"/>
      <c r="F464" s="11"/>
      <c r="G464" s="90"/>
      <c r="H464" s="89"/>
      <c r="I464" s="91"/>
    </row>
    <row r="465" customFormat="false" ht="12.75" hidden="false" customHeight="true" outlineLevel="0" collapsed="false">
      <c r="C465" s="88"/>
      <c r="D465" s="89"/>
      <c r="E465" s="71"/>
      <c r="F465" s="11"/>
      <c r="G465" s="90"/>
      <c r="H465" s="89"/>
      <c r="I465" s="91"/>
    </row>
    <row r="466" customFormat="false" ht="12.75" hidden="false" customHeight="true" outlineLevel="0" collapsed="false">
      <c r="C466" s="88"/>
      <c r="D466" s="89"/>
      <c r="E466" s="71"/>
      <c r="F466" s="11"/>
      <c r="G466" s="90"/>
      <c r="H466" s="89"/>
      <c r="I466" s="91"/>
    </row>
    <row r="467" customFormat="false" ht="12.75" hidden="false" customHeight="true" outlineLevel="0" collapsed="false">
      <c r="C467" s="88"/>
      <c r="D467" s="89"/>
      <c r="E467" s="71"/>
      <c r="F467" s="11"/>
      <c r="G467" s="90"/>
      <c r="H467" s="89"/>
      <c r="I467" s="91"/>
    </row>
    <row r="468" customFormat="false" ht="12.75" hidden="false" customHeight="true" outlineLevel="0" collapsed="false">
      <c r="C468" s="88"/>
      <c r="D468" s="89"/>
      <c r="E468" s="71"/>
      <c r="F468" s="11"/>
      <c r="G468" s="90"/>
      <c r="H468" s="89"/>
      <c r="I468" s="91"/>
    </row>
    <row r="469" customFormat="false" ht="12.75" hidden="false" customHeight="true" outlineLevel="0" collapsed="false">
      <c r="C469" s="88"/>
      <c r="D469" s="89"/>
      <c r="E469" s="71"/>
      <c r="F469" s="11"/>
      <c r="G469" s="90"/>
      <c r="H469" s="89"/>
      <c r="I469" s="91"/>
    </row>
    <row r="470" customFormat="false" ht="12.75" hidden="false" customHeight="true" outlineLevel="0" collapsed="false">
      <c r="C470" s="88"/>
      <c r="D470" s="89"/>
      <c r="E470" s="71"/>
      <c r="F470" s="11"/>
      <c r="G470" s="90"/>
      <c r="H470" s="89"/>
      <c r="I470" s="91"/>
    </row>
    <row r="471" customFormat="false" ht="12.75" hidden="false" customHeight="true" outlineLevel="0" collapsed="false">
      <c r="C471" s="88"/>
      <c r="D471" s="89"/>
      <c r="E471" s="71"/>
      <c r="F471" s="11"/>
      <c r="G471" s="90"/>
      <c r="H471" s="89"/>
      <c r="I471" s="91"/>
    </row>
    <row r="472" customFormat="false" ht="12.75" hidden="false" customHeight="true" outlineLevel="0" collapsed="false">
      <c r="C472" s="88"/>
      <c r="D472" s="89"/>
      <c r="E472" s="71"/>
      <c r="F472" s="11"/>
      <c r="G472" s="90"/>
      <c r="H472" s="89"/>
      <c r="I472" s="91"/>
    </row>
    <row r="473" customFormat="false" ht="12.75" hidden="false" customHeight="true" outlineLevel="0" collapsed="false">
      <c r="C473" s="88"/>
      <c r="D473" s="89"/>
      <c r="E473" s="71"/>
      <c r="F473" s="11"/>
      <c r="G473" s="90"/>
      <c r="H473" s="89"/>
      <c r="I473" s="91"/>
    </row>
    <row r="474" customFormat="false" ht="12.75" hidden="false" customHeight="true" outlineLevel="0" collapsed="false">
      <c r="C474" s="88"/>
      <c r="D474" s="89"/>
      <c r="E474" s="71"/>
      <c r="F474" s="11"/>
      <c r="G474" s="90"/>
      <c r="H474" s="89"/>
      <c r="I474" s="91"/>
    </row>
    <row r="475" customFormat="false" ht="12.75" hidden="false" customHeight="true" outlineLevel="0" collapsed="false">
      <c r="C475" s="88"/>
      <c r="D475" s="89"/>
      <c r="E475" s="71"/>
      <c r="F475" s="11"/>
      <c r="G475" s="90"/>
      <c r="H475" s="89"/>
      <c r="I475" s="91"/>
    </row>
    <row r="476" customFormat="false" ht="12.75" hidden="false" customHeight="true" outlineLevel="0" collapsed="false">
      <c r="C476" s="88"/>
      <c r="D476" s="89"/>
      <c r="E476" s="71"/>
      <c r="F476" s="11"/>
      <c r="G476" s="90"/>
      <c r="H476" s="89"/>
      <c r="I476" s="91"/>
    </row>
    <row r="477" customFormat="false" ht="12.75" hidden="false" customHeight="true" outlineLevel="0" collapsed="false">
      <c r="C477" s="88"/>
      <c r="D477" s="89"/>
      <c r="E477" s="71"/>
      <c r="F477" s="11"/>
      <c r="G477" s="90"/>
      <c r="H477" s="89"/>
      <c r="I477" s="91"/>
    </row>
    <row r="478" customFormat="false" ht="12.75" hidden="false" customHeight="true" outlineLevel="0" collapsed="false">
      <c r="C478" s="88"/>
      <c r="D478" s="89"/>
      <c r="E478" s="71"/>
      <c r="F478" s="11"/>
      <c r="G478" s="90"/>
      <c r="H478" s="89"/>
      <c r="I478" s="91"/>
    </row>
    <row r="479" customFormat="false" ht="12.75" hidden="false" customHeight="true" outlineLevel="0" collapsed="false">
      <c r="C479" s="88"/>
      <c r="D479" s="89"/>
      <c r="E479" s="71"/>
      <c r="F479" s="11"/>
      <c r="G479" s="90"/>
      <c r="H479" s="89"/>
      <c r="I479" s="91"/>
    </row>
    <row r="480" customFormat="false" ht="12.75" hidden="false" customHeight="true" outlineLevel="0" collapsed="false">
      <c r="C480" s="88"/>
      <c r="D480" s="89"/>
      <c r="E480" s="71"/>
      <c r="F480" s="11"/>
      <c r="G480" s="90"/>
      <c r="H480" s="89"/>
      <c r="I480" s="91"/>
    </row>
    <row r="481" customFormat="false" ht="12.75" hidden="false" customHeight="true" outlineLevel="0" collapsed="false">
      <c r="C481" s="88"/>
      <c r="D481" s="89"/>
      <c r="E481" s="71"/>
      <c r="F481" s="11"/>
      <c r="G481" s="90"/>
      <c r="H481" s="89"/>
      <c r="I481" s="91"/>
    </row>
    <row r="482" customFormat="false" ht="12.75" hidden="false" customHeight="true" outlineLevel="0" collapsed="false">
      <c r="C482" s="88"/>
      <c r="D482" s="89"/>
      <c r="E482" s="71"/>
      <c r="F482" s="11"/>
      <c r="G482" s="90"/>
      <c r="H482" s="89"/>
      <c r="I482" s="91"/>
    </row>
    <row r="483" customFormat="false" ht="12.75" hidden="false" customHeight="true" outlineLevel="0" collapsed="false">
      <c r="C483" s="88"/>
      <c r="D483" s="89"/>
      <c r="E483" s="71"/>
      <c r="F483" s="11"/>
      <c r="G483" s="90"/>
      <c r="H483" s="89"/>
      <c r="I483" s="91"/>
    </row>
    <row r="484" customFormat="false" ht="12.75" hidden="false" customHeight="true" outlineLevel="0" collapsed="false">
      <c r="C484" s="88"/>
      <c r="D484" s="89"/>
      <c r="E484" s="71"/>
      <c r="F484" s="11"/>
      <c r="G484" s="90"/>
      <c r="H484" s="89"/>
      <c r="I484" s="91"/>
    </row>
    <row r="485" customFormat="false" ht="12.75" hidden="false" customHeight="true" outlineLevel="0" collapsed="false">
      <c r="C485" s="88"/>
      <c r="D485" s="89"/>
      <c r="E485" s="71"/>
      <c r="F485" s="11"/>
      <c r="G485" s="90"/>
      <c r="H485" s="89"/>
      <c r="I485" s="91"/>
    </row>
    <row r="486" customFormat="false" ht="12.75" hidden="false" customHeight="true" outlineLevel="0" collapsed="false">
      <c r="C486" s="88"/>
      <c r="D486" s="89"/>
      <c r="E486" s="71"/>
      <c r="F486" s="11"/>
      <c r="G486" s="90"/>
      <c r="H486" s="89"/>
      <c r="I486" s="91"/>
    </row>
    <row r="487" customFormat="false" ht="12.75" hidden="false" customHeight="true" outlineLevel="0" collapsed="false">
      <c r="C487" s="88"/>
      <c r="D487" s="89"/>
      <c r="E487" s="71"/>
      <c r="F487" s="11"/>
      <c r="G487" s="90"/>
      <c r="H487" s="89"/>
      <c r="I487" s="91"/>
    </row>
    <row r="488" customFormat="false" ht="12.75" hidden="false" customHeight="true" outlineLevel="0" collapsed="false">
      <c r="C488" s="88"/>
      <c r="D488" s="89"/>
      <c r="E488" s="71"/>
      <c r="F488" s="11"/>
      <c r="G488" s="90"/>
      <c r="H488" s="89"/>
      <c r="I488" s="91"/>
    </row>
    <row r="489" customFormat="false" ht="12.75" hidden="false" customHeight="true" outlineLevel="0" collapsed="false">
      <c r="C489" s="88"/>
      <c r="D489" s="89"/>
      <c r="E489" s="71"/>
      <c r="F489" s="11"/>
      <c r="G489" s="90"/>
      <c r="H489" s="89"/>
      <c r="I489" s="91"/>
    </row>
    <row r="490" customFormat="false" ht="12.75" hidden="false" customHeight="true" outlineLevel="0" collapsed="false">
      <c r="C490" s="88"/>
      <c r="D490" s="89"/>
      <c r="E490" s="71"/>
      <c r="F490" s="11"/>
      <c r="G490" s="90"/>
      <c r="H490" s="89"/>
      <c r="I490" s="91"/>
    </row>
    <row r="491" customFormat="false" ht="12.75" hidden="false" customHeight="true" outlineLevel="0" collapsed="false">
      <c r="C491" s="88"/>
      <c r="D491" s="89"/>
      <c r="E491" s="71"/>
      <c r="F491" s="11"/>
      <c r="G491" s="90"/>
      <c r="H491" s="89"/>
      <c r="I491" s="91"/>
    </row>
    <row r="492" customFormat="false" ht="12.75" hidden="false" customHeight="true" outlineLevel="0" collapsed="false">
      <c r="C492" s="88"/>
      <c r="D492" s="89"/>
      <c r="E492" s="71"/>
      <c r="F492" s="11"/>
      <c r="G492" s="90"/>
      <c r="H492" s="89"/>
      <c r="I492" s="91"/>
    </row>
    <row r="493" customFormat="false" ht="12.75" hidden="false" customHeight="true" outlineLevel="0" collapsed="false">
      <c r="C493" s="88"/>
      <c r="D493" s="89"/>
      <c r="E493" s="71"/>
      <c r="F493" s="11"/>
      <c r="G493" s="90"/>
      <c r="H493" s="89"/>
      <c r="I493" s="91"/>
    </row>
    <row r="494" customFormat="false" ht="12.75" hidden="false" customHeight="true" outlineLevel="0" collapsed="false">
      <c r="C494" s="88"/>
      <c r="D494" s="89"/>
      <c r="E494" s="71"/>
      <c r="F494" s="11"/>
      <c r="G494" s="90"/>
      <c r="H494" s="89"/>
      <c r="I494" s="91"/>
    </row>
    <row r="495" customFormat="false" ht="12.75" hidden="false" customHeight="true" outlineLevel="0" collapsed="false">
      <c r="C495" s="88"/>
      <c r="D495" s="89"/>
      <c r="E495" s="71"/>
      <c r="F495" s="11"/>
      <c r="G495" s="90"/>
      <c r="H495" s="89"/>
      <c r="I495" s="91"/>
    </row>
    <row r="496" customFormat="false" ht="12.75" hidden="false" customHeight="true" outlineLevel="0" collapsed="false">
      <c r="C496" s="88"/>
      <c r="D496" s="89"/>
      <c r="E496" s="71"/>
      <c r="F496" s="11"/>
      <c r="G496" s="90"/>
      <c r="H496" s="89"/>
      <c r="I496" s="91"/>
    </row>
    <row r="497" customFormat="false" ht="12.75" hidden="false" customHeight="true" outlineLevel="0" collapsed="false">
      <c r="C497" s="88"/>
      <c r="D497" s="89"/>
      <c r="E497" s="71"/>
      <c r="F497" s="11"/>
      <c r="G497" s="90"/>
      <c r="H497" s="89"/>
      <c r="I497" s="91"/>
    </row>
    <row r="498" customFormat="false" ht="12.75" hidden="false" customHeight="true" outlineLevel="0" collapsed="false">
      <c r="C498" s="88"/>
      <c r="D498" s="89"/>
      <c r="E498" s="71"/>
      <c r="F498" s="11"/>
      <c r="G498" s="90"/>
      <c r="H498" s="89"/>
      <c r="I498" s="91"/>
    </row>
    <row r="499" customFormat="false" ht="12.75" hidden="false" customHeight="true" outlineLevel="0" collapsed="false">
      <c r="C499" s="88"/>
      <c r="D499" s="89"/>
      <c r="E499" s="71"/>
      <c r="F499" s="11"/>
      <c r="G499" s="90"/>
      <c r="H499" s="89"/>
      <c r="I499" s="91"/>
    </row>
    <row r="500" customFormat="false" ht="12.75" hidden="false" customHeight="true" outlineLevel="0" collapsed="false">
      <c r="C500" s="88"/>
      <c r="D500" s="89"/>
      <c r="E500" s="71"/>
      <c r="F500" s="11"/>
      <c r="G500" s="90"/>
      <c r="H500" s="89"/>
      <c r="I500" s="91"/>
    </row>
    <row r="501" customFormat="false" ht="12.75" hidden="false" customHeight="true" outlineLevel="0" collapsed="false">
      <c r="C501" s="88"/>
      <c r="D501" s="89"/>
      <c r="E501" s="71"/>
      <c r="F501" s="11"/>
      <c r="G501" s="90"/>
      <c r="H501" s="89"/>
      <c r="I501" s="91"/>
    </row>
    <row r="502" customFormat="false" ht="12.75" hidden="false" customHeight="true" outlineLevel="0" collapsed="false">
      <c r="C502" s="88"/>
      <c r="D502" s="89"/>
      <c r="E502" s="71"/>
      <c r="F502" s="11"/>
      <c r="G502" s="90"/>
      <c r="H502" s="89"/>
      <c r="I502" s="91"/>
    </row>
    <row r="503" customFormat="false" ht="12.75" hidden="false" customHeight="true" outlineLevel="0" collapsed="false">
      <c r="C503" s="88"/>
      <c r="D503" s="89"/>
      <c r="E503" s="71"/>
      <c r="F503" s="11"/>
      <c r="G503" s="90"/>
      <c r="H503" s="89"/>
      <c r="I503" s="91"/>
    </row>
    <row r="504" customFormat="false" ht="12.75" hidden="false" customHeight="true" outlineLevel="0" collapsed="false">
      <c r="C504" s="88"/>
      <c r="D504" s="89"/>
      <c r="E504" s="71"/>
      <c r="F504" s="11"/>
      <c r="G504" s="90"/>
      <c r="H504" s="89"/>
      <c r="I504" s="91"/>
    </row>
    <row r="505" customFormat="false" ht="12.75" hidden="false" customHeight="true" outlineLevel="0" collapsed="false">
      <c r="C505" s="88"/>
      <c r="D505" s="89"/>
      <c r="E505" s="71"/>
      <c r="F505" s="11"/>
      <c r="G505" s="90"/>
      <c r="H505" s="89"/>
      <c r="I505" s="91"/>
    </row>
    <row r="506" customFormat="false" ht="12.75" hidden="false" customHeight="true" outlineLevel="0" collapsed="false">
      <c r="C506" s="88"/>
      <c r="D506" s="89"/>
      <c r="E506" s="71"/>
      <c r="F506" s="11"/>
      <c r="G506" s="90"/>
      <c r="H506" s="89"/>
      <c r="I506" s="91"/>
    </row>
    <row r="507" customFormat="false" ht="12.75" hidden="false" customHeight="true" outlineLevel="0" collapsed="false">
      <c r="C507" s="88"/>
      <c r="D507" s="89"/>
      <c r="E507" s="71"/>
      <c r="F507" s="11"/>
      <c r="G507" s="90"/>
      <c r="H507" s="89"/>
      <c r="I507" s="91"/>
    </row>
    <row r="508" customFormat="false" ht="12.75" hidden="false" customHeight="true" outlineLevel="0" collapsed="false">
      <c r="C508" s="88"/>
      <c r="D508" s="89"/>
      <c r="E508" s="71"/>
      <c r="F508" s="11"/>
      <c r="G508" s="90"/>
      <c r="H508" s="89"/>
      <c r="I508" s="91"/>
    </row>
    <row r="509" customFormat="false" ht="12.75" hidden="false" customHeight="true" outlineLevel="0" collapsed="false">
      <c r="C509" s="88"/>
      <c r="D509" s="89"/>
      <c r="E509" s="71"/>
      <c r="F509" s="11"/>
      <c r="G509" s="90"/>
      <c r="H509" s="89"/>
      <c r="I509" s="91"/>
    </row>
    <row r="510" customFormat="false" ht="12.75" hidden="false" customHeight="true" outlineLevel="0" collapsed="false">
      <c r="C510" s="88"/>
      <c r="D510" s="89"/>
      <c r="E510" s="71"/>
      <c r="F510" s="11"/>
      <c r="G510" s="90"/>
      <c r="H510" s="89"/>
      <c r="I510" s="91"/>
    </row>
    <row r="511" customFormat="false" ht="12.75" hidden="false" customHeight="true" outlineLevel="0" collapsed="false">
      <c r="C511" s="88"/>
      <c r="D511" s="89"/>
      <c r="E511" s="71"/>
      <c r="F511" s="11"/>
      <c r="G511" s="90"/>
      <c r="H511" s="89"/>
      <c r="I511" s="91"/>
    </row>
    <row r="512" customFormat="false" ht="12.75" hidden="false" customHeight="true" outlineLevel="0" collapsed="false">
      <c r="C512" s="88"/>
      <c r="D512" s="89"/>
      <c r="E512" s="71"/>
      <c r="F512" s="11"/>
      <c r="G512" s="90"/>
      <c r="H512" s="89"/>
      <c r="I512" s="91"/>
    </row>
    <row r="513" customFormat="false" ht="12.75" hidden="false" customHeight="true" outlineLevel="0" collapsed="false">
      <c r="C513" s="88"/>
      <c r="D513" s="89"/>
      <c r="E513" s="71"/>
      <c r="F513" s="11"/>
      <c r="G513" s="90"/>
      <c r="H513" s="89"/>
      <c r="I513" s="91"/>
    </row>
    <row r="514" customFormat="false" ht="12.75" hidden="false" customHeight="true" outlineLevel="0" collapsed="false">
      <c r="C514" s="88"/>
      <c r="D514" s="89"/>
      <c r="E514" s="71"/>
      <c r="F514" s="11"/>
      <c r="G514" s="90"/>
      <c r="H514" s="89"/>
      <c r="I514" s="91"/>
    </row>
    <row r="515" customFormat="false" ht="12.75" hidden="false" customHeight="true" outlineLevel="0" collapsed="false">
      <c r="C515" s="88"/>
      <c r="D515" s="89"/>
      <c r="E515" s="71"/>
      <c r="F515" s="11"/>
      <c r="G515" s="90"/>
      <c r="H515" s="89"/>
      <c r="I515" s="91"/>
    </row>
    <row r="516" customFormat="false" ht="12.75" hidden="false" customHeight="true" outlineLevel="0" collapsed="false">
      <c r="C516" s="88"/>
      <c r="D516" s="89"/>
      <c r="E516" s="71"/>
      <c r="F516" s="11"/>
      <c r="G516" s="90"/>
      <c r="H516" s="89"/>
      <c r="I516" s="91"/>
    </row>
    <row r="517" customFormat="false" ht="12.75" hidden="false" customHeight="true" outlineLevel="0" collapsed="false">
      <c r="C517" s="88"/>
      <c r="D517" s="89"/>
      <c r="E517" s="71"/>
      <c r="F517" s="11"/>
      <c r="G517" s="90"/>
      <c r="H517" s="89"/>
      <c r="I517" s="91"/>
    </row>
    <row r="518" customFormat="false" ht="12.75" hidden="false" customHeight="true" outlineLevel="0" collapsed="false">
      <c r="C518" s="88"/>
      <c r="D518" s="89"/>
      <c r="E518" s="71"/>
      <c r="F518" s="11"/>
      <c r="G518" s="90"/>
      <c r="H518" s="89"/>
      <c r="I518" s="91"/>
    </row>
    <row r="519" customFormat="false" ht="12.75" hidden="false" customHeight="true" outlineLevel="0" collapsed="false">
      <c r="C519" s="88"/>
      <c r="D519" s="89"/>
      <c r="E519" s="71"/>
      <c r="F519" s="11"/>
      <c r="G519" s="90"/>
      <c r="H519" s="89"/>
      <c r="I519" s="91"/>
    </row>
    <row r="520" customFormat="false" ht="12.75" hidden="false" customHeight="true" outlineLevel="0" collapsed="false">
      <c r="C520" s="88"/>
      <c r="D520" s="89"/>
      <c r="E520" s="71"/>
      <c r="F520" s="11"/>
      <c r="G520" s="90"/>
      <c r="H520" s="89"/>
      <c r="I520" s="91"/>
    </row>
    <row r="521" customFormat="false" ht="12.75" hidden="false" customHeight="true" outlineLevel="0" collapsed="false">
      <c r="C521" s="88"/>
      <c r="D521" s="89"/>
      <c r="E521" s="71"/>
      <c r="F521" s="11"/>
      <c r="G521" s="90"/>
      <c r="H521" s="89"/>
      <c r="I521" s="91"/>
    </row>
    <row r="522" customFormat="false" ht="12.75" hidden="false" customHeight="true" outlineLevel="0" collapsed="false">
      <c r="C522" s="88"/>
      <c r="D522" s="89"/>
      <c r="E522" s="71"/>
      <c r="F522" s="11"/>
      <c r="G522" s="90"/>
      <c r="H522" s="89"/>
      <c r="I522" s="91"/>
    </row>
    <row r="523" customFormat="false" ht="12.75" hidden="false" customHeight="true" outlineLevel="0" collapsed="false">
      <c r="C523" s="88"/>
      <c r="D523" s="89"/>
      <c r="E523" s="71"/>
      <c r="F523" s="11"/>
      <c r="G523" s="90"/>
      <c r="H523" s="89"/>
      <c r="I523" s="91"/>
    </row>
    <row r="524" customFormat="false" ht="12.75" hidden="false" customHeight="true" outlineLevel="0" collapsed="false">
      <c r="C524" s="88"/>
      <c r="D524" s="89"/>
      <c r="E524" s="71"/>
      <c r="F524" s="11"/>
      <c r="G524" s="90"/>
      <c r="H524" s="89"/>
      <c r="I524" s="91"/>
    </row>
    <row r="525" customFormat="false" ht="12.75" hidden="false" customHeight="true" outlineLevel="0" collapsed="false">
      <c r="C525" s="88"/>
      <c r="D525" s="89"/>
      <c r="E525" s="71"/>
      <c r="F525" s="11"/>
      <c r="G525" s="90"/>
      <c r="H525" s="89"/>
      <c r="I525" s="91"/>
    </row>
    <row r="526" customFormat="false" ht="12.75" hidden="false" customHeight="true" outlineLevel="0" collapsed="false">
      <c r="C526" s="88"/>
      <c r="D526" s="89"/>
      <c r="E526" s="71"/>
      <c r="F526" s="11"/>
      <c r="G526" s="90"/>
      <c r="H526" s="89"/>
      <c r="I526" s="91"/>
    </row>
    <row r="527" customFormat="false" ht="12.75" hidden="false" customHeight="true" outlineLevel="0" collapsed="false">
      <c r="C527" s="88"/>
      <c r="D527" s="89"/>
      <c r="E527" s="71"/>
      <c r="F527" s="11"/>
      <c r="G527" s="90"/>
      <c r="H527" s="89"/>
      <c r="I527" s="91"/>
    </row>
    <row r="528" customFormat="false" ht="12.75" hidden="false" customHeight="true" outlineLevel="0" collapsed="false">
      <c r="C528" s="88"/>
      <c r="D528" s="89"/>
      <c r="E528" s="71"/>
      <c r="F528" s="11"/>
      <c r="G528" s="90"/>
      <c r="H528" s="89"/>
      <c r="I528" s="91"/>
    </row>
    <row r="529" customFormat="false" ht="12.75" hidden="false" customHeight="true" outlineLevel="0" collapsed="false">
      <c r="C529" s="88"/>
      <c r="D529" s="89"/>
      <c r="E529" s="71"/>
      <c r="F529" s="11"/>
      <c r="G529" s="90"/>
      <c r="H529" s="89"/>
      <c r="I529" s="91"/>
    </row>
    <row r="530" customFormat="false" ht="12.75" hidden="false" customHeight="true" outlineLevel="0" collapsed="false">
      <c r="C530" s="88"/>
      <c r="D530" s="89"/>
      <c r="E530" s="71"/>
      <c r="F530" s="11"/>
      <c r="G530" s="90"/>
      <c r="H530" s="89"/>
      <c r="I530" s="91"/>
    </row>
    <row r="531" customFormat="false" ht="12.75" hidden="false" customHeight="true" outlineLevel="0" collapsed="false">
      <c r="C531" s="88"/>
      <c r="D531" s="89"/>
      <c r="E531" s="71"/>
      <c r="F531" s="11"/>
      <c r="G531" s="90"/>
      <c r="H531" s="89"/>
      <c r="I531" s="91"/>
    </row>
    <row r="532" customFormat="false" ht="12.75" hidden="false" customHeight="true" outlineLevel="0" collapsed="false">
      <c r="C532" s="88"/>
      <c r="D532" s="89"/>
      <c r="E532" s="71"/>
      <c r="F532" s="11"/>
      <c r="G532" s="90"/>
      <c r="H532" s="89"/>
      <c r="I532" s="91"/>
    </row>
    <row r="533" customFormat="false" ht="12.75" hidden="false" customHeight="true" outlineLevel="0" collapsed="false">
      <c r="C533" s="88"/>
      <c r="D533" s="89"/>
      <c r="E533" s="71"/>
      <c r="F533" s="11"/>
      <c r="G533" s="90"/>
      <c r="H533" s="89"/>
      <c r="I533" s="91"/>
    </row>
    <row r="534" customFormat="false" ht="12.75" hidden="false" customHeight="true" outlineLevel="0" collapsed="false">
      <c r="C534" s="88"/>
      <c r="D534" s="89"/>
      <c r="E534" s="71"/>
      <c r="F534" s="11"/>
      <c r="G534" s="90"/>
      <c r="H534" s="89"/>
      <c r="I534" s="91"/>
    </row>
    <row r="535" customFormat="false" ht="12.75" hidden="false" customHeight="true" outlineLevel="0" collapsed="false">
      <c r="C535" s="88"/>
      <c r="D535" s="89"/>
      <c r="E535" s="71"/>
      <c r="F535" s="11"/>
      <c r="G535" s="90"/>
      <c r="H535" s="89"/>
      <c r="I535" s="91"/>
    </row>
    <row r="536" customFormat="false" ht="12.75" hidden="false" customHeight="true" outlineLevel="0" collapsed="false">
      <c r="C536" s="88"/>
      <c r="D536" s="89"/>
      <c r="E536" s="71"/>
      <c r="F536" s="11"/>
      <c r="G536" s="90"/>
      <c r="H536" s="89"/>
      <c r="I536" s="91"/>
    </row>
    <row r="537" customFormat="false" ht="12.75" hidden="false" customHeight="true" outlineLevel="0" collapsed="false">
      <c r="C537" s="88"/>
      <c r="D537" s="89"/>
      <c r="E537" s="71"/>
      <c r="F537" s="11"/>
      <c r="G537" s="90"/>
      <c r="H537" s="89"/>
      <c r="I537" s="91"/>
    </row>
    <row r="538" customFormat="false" ht="12.75" hidden="false" customHeight="true" outlineLevel="0" collapsed="false">
      <c r="C538" s="88"/>
      <c r="D538" s="89"/>
      <c r="E538" s="71"/>
      <c r="F538" s="11"/>
      <c r="G538" s="90"/>
      <c r="H538" s="89"/>
      <c r="I538" s="91"/>
    </row>
    <row r="539" customFormat="false" ht="12.75" hidden="false" customHeight="true" outlineLevel="0" collapsed="false">
      <c r="C539" s="88"/>
      <c r="D539" s="89"/>
      <c r="E539" s="71"/>
      <c r="F539" s="11"/>
      <c r="G539" s="90"/>
      <c r="H539" s="89"/>
      <c r="I539" s="91"/>
    </row>
    <row r="540" customFormat="false" ht="12.75" hidden="false" customHeight="true" outlineLevel="0" collapsed="false">
      <c r="C540" s="88"/>
      <c r="D540" s="89"/>
      <c r="E540" s="71"/>
      <c r="F540" s="11"/>
      <c r="G540" s="90"/>
      <c r="H540" s="89"/>
      <c r="I540" s="91"/>
    </row>
    <row r="541" customFormat="false" ht="12.75" hidden="false" customHeight="true" outlineLevel="0" collapsed="false">
      <c r="C541" s="88"/>
      <c r="D541" s="89"/>
      <c r="E541" s="71"/>
      <c r="F541" s="11"/>
      <c r="G541" s="90"/>
      <c r="H541" s="89"/>
      <c r="I541" s="91"/>
    </row>
    <row r="542" customFormat="false" ht="12.75" hidden="false" customHeight="true" outlineLevel="0" collapsed="false">
      <c r="C542" s="88"/>
      <c r="D542" s="89"/>
      <c r="E542" s="71"/>
      <c r="F542" s="11"/>
      <c r="G542" s="90"/>
      <c r="H542" s="89"/>
      <c r="I542" s="91"/>
    </row>
    <row r="543" customFormat="false" ht="12.75" hidden="false" customHeight="true" outlineLevel="0" collapsed="false">
      <c r="C543" s="88"/>
      <c r="D543" s="89"/>
      <c r="E543" s="71"/>
      <c r="F543" s="11"/>
      <c r="G543" s="90"/>
      <c r="H543" s="89"/>
      <c r="I543" s="91"/>
    </row>
    <row r="544" customFormat="false" ht="12.75" hidden="false" customHeight="true" outlineLevel="0" collapsed="false">
      <c r="C544" s="88"/>
      <c r="D544" s="89"/>
      <c r="E544" s="71"/>
      <c r="F544" s="11"/>
      <c r="G544" s="90"/>
      <c r="H544" s="89"/>
      <c r="I544" s="91"/>
    </row>
    <row r="545" customFormat="false" ht="12.75" hidden="false" customHeight="true" outlineLevel="0" collapsed="false">
      <c r="C545" s="88"/>
      <c r="D545" s="89"/>
      <c r="E545" s="71"/>
      <c r="F545" s="11"/>
      <c r="G545" s="90"/>
      <c r="H545" s="89"/>
      <c r="I545" s="91"/>
    </row>
    <row r="546" customFormat="false" ht="12.75" hidden="false" customHeight="true" outlineLevel="0" collapsed="false">
      <c r="C546" s="88"/>
      <c r="D546" s="89"/>
      <c r="E546" s="71"/>
      <c r="F546" s="11"/>
      <c r="G546" s="90"/>
      <c r="H546" s="89"/>
      <c r="I546" s="91"/>
    </row>
    <row r="547" customFormat="false" ht="12.75" hidden="false" customHeight="true" outlineLevel="0" collapsed="false">
      <c r="C547" s="88"/>
      <c r="D547" s="89"/>
      <c r="E547" s="71"/>
      <c r="F547" s="11"/>
      <c r="G547" s="90"/>
      <c r="H547" s="89"/>
      <c r="I547" s="91"/>
    </row>
    <row r="548" customFormat="false" ht="12.75" hidden="false" customHeight="true" outlineLevel="0" collapsed="false">
      <c r="C548" s="88"/>
      <c r="D548" s="89"/>
      <c r="E548" s="71"/>
      <c r="F548" s="11"/>
      <c r="G548" s="90"/>
      <c r="H548" s="89"/>
      <c r="I548" s="91"/>
    </row>
    <row r="549" customFormat="false" ht="12.75" hidden="false" customHeight="true" outlineLevel="0" collapsed="false">
      <c r="C549" s="88"/>
      <c r="D549" s="89"/>
      <c r="E549" s="71"/>
      <c r="F549" s="11"/>
      <c r="G549" s="90"/>
      <c r="H549" s="89"/>
      <c r="I549" s="91"/>
    </row>
    <row r="550" customFormat="false" ht="12.75" hidden="false" customHeight="true" outlineLevel="0" collapsed="false">
      <c r="C550" s="88"/>
      <c r="D550" s="89"/>
      <c r="E550" s="71"/>
      <c r="F550" s="11"/>
      <c r="G550" s="90"/>
      <c r="H550" s="89"/>
      <c r="I550" s="91"/>
    </row>
    <row r="551" customFormat="false" ht="12.75" hidden="false" customHeight="true" outlineLevel="0" collapsed="false">
      <c r="C551" s="88"/>
      <c r="D551" s="89"/>
      <c r="E551" s="71"/>
      <c r="F551" s="11"/>
      <c r="G551" s="90"/>
      <c r="H551" s="89"/>
      <c r="I551" s="91"/>
    </row>
    <row r="552" customFormat="false" ht="12.75" hidden="false" customHeight="true" outlineLevel="0" collapsed="false">
      <c r="C552" s="88"/>
      <c r="D552" s="89"/>
      <c r="E552" s="71"/>
      <c r="F552" s="11"/>
      <c r="G552" s="90"/>
      <c r="H552" s="89"/>
      <c r="I552" s="91"/>
    </row>
    <row r="553" customFormat="false" ht="12.75" hidden="false" customHeight="true" outlineLevel="0" collapsed="false">
      <c r="C553" s="88"/>
      <c r="D553" s="89"/>
      <c r="E553" s="71"/>
      <c r="F553" s="11"/>
      <c r="G553" s="90"/>
      <c r="H553" s="89"/>
      <c r="I553" s="91"/>
    </row>
    <row r="554" customFormat="false" ht="12.75" hidden="false" customHeight="true" outlineLevel="0" collapsed="false">
      <c r="C554" s="88"/>
      <c r="D554" s="89"/>
      <c r="E554" s="71"/>
      <c r="F554" s="11"/>
      <c r="G554" s="90"/>
      <c r="H554" s="89"/>
      <c r="I554" s="91"/>
    </row>
    <row r="555" customFormat="false" ht="12.75" hidden="false" customHeight="true" outlineLevel="0" collapsed="false">
      <c r="C555" s="88"/>
      <c r="D555" s="89"/>
      <c r="E555" s="71"/>
      <c r="F555" s="11"/>
      <c r="G555" s="90"/>
      <c r="H555" s="89"/>
      <c r="I555" s="91"/>
    </row>
    <row r="556" customFormat="false" ht="12.75" hidden="false" customHeight="true" outlineLevel="0" collapsed="false">
      <c r="C556" s="88"/>
      <c r="D556" s="89"/>
      <c r="E556" s="71"/>
      <c r="F556" s="11"/>
      <c r="G556" s="90"/>
      <c r="H556" s="89"/>
      <c r="I556" s="91"/>
    </row>
    <row r="557" customFormat="false" ht="12.75" hidden="false" customHeight="true" outlineLevel="0" collapsed="false">
      <c r="C557" s="88"/>
      <c r="D557" s="89"/>
      <c r="E557" s="71"/>
      <c r="F557" s="11"/>
      <c r="G557" s="90"/>
      <c r="H557" s="89"/>
      <c r="I557" s="91"/>
    </row>
    <row r="558" customFormat="false" ht="12.75" hidden="false" customHeight="true" outlineLevel="0" collapsed="false">
      <c r="C558" s="88"/>
      <c r="D558" s="89"/>
      <c r="E558" s="71"/>
      <c r="F558" s="11"/>
      <c r="G558" s="90"/>
      <c r="H558" s="89"/>
      <c r="I558" s="91"/>
    </row>
    <row r="559" customFormat="false" ht="12.75" hidden="false" customHeight="true" outlineLevel="0" collapsed="false">
      <c r="C559" s="88"/>
      <c r="D559" s="89"/>
      <c r="E559" s="71"/>
      <c r="F559" s="11"/>
      <c r="G559" s="90"/>
      <c r="H559" s="89"/>
      <c r="I559" s="91"/>
    </row>
    <row r="560" customFormat="false" ht="12.75" hidden="false" customHeight="true" outlineLevel="0" collapsed="false">
      <c r="C560" s="88"/>
      <c r="D560" s="89"/>
      <c r="E560" s="71"/>
      <c r="F560" s="11"/>
      <c r="G560" s="90"/>
      <c r="H560" s="89"/>
      <c r="I560" s="91"/>
    </row>
    <row r="561" customFormat="false" ht="12.75" hidden="false" customHeight="true" outlineLevel="0" collapsed="false">
      <c r="C561" s="88"/>
      <c r="D561" s="89"/>
      <c r="E561" s="71"/>
      <c r="F561" s="11"/>
      <c r="G561" s="90"/>
      <c r="H561" s="89"/>
      <c r="I561" s="91"/>
    </row>
    <row r="562" customFormat="false" ht="12.75" hidden="false" customHeight="true" outlineLevel="0" collapsed="false">
      <c r="C562" s="88"/>
      <c r="D562" s="89"/>
      <c r="E562" s="71"/>
      <c r="F562" s="11"/>
      <c r="G562" s="90"/>
      <c r="H562" s="89"/>
      <c r="I562" s="91"/>
    </row>
    <row r="563" customFormat="false" ht="12.75" hidden="false" customHeight="true" outlineLevel="0" collapsed="false">
      <c r="C563" s="88"/>
      <c r="D563" s="89"/>
      <c r="E563" s="71"/>
      <c r="F563" s="11"/>
      <c r="G563" s="90"/>
      <c r="H563" s="89"/>
      <c r="I563" s="91"/>
    </row>
    <row r="564" customFormat="false" ht="12.75" hidden="false" customHeight="true" outlineLevel="0" collapsed="false">
      <c r="C564" s="88"/>
      <c r="D564" s="89"/>
      <c r="E564" s="71"/>
      <c r="F564" s="11"/>
      <c r="G564" s="90"/>
      <c r="H564" s="89"/>
      <c r="I564" s="91"/>
    </row>
    <row r="565" customFormat="false" ht="12.75" hidden="false" customHeight="true" outlineLevel="0" collapsed="false">
      <c r="C565" s="88"/>
      <c r="D565" s="89"/>
      <c r="E565" s="71"/>
      <c r="F565" s="11"/>
      <c r="G565" s="90"/>
      <c r="H565" s="89"/>
      <c r="I565" s="91"/>
    </row>
    <row r="566" customFormat="false" ht="12.75" hidden="false" customHeight="true" outlineLevel="0" collapsed="false">
      <c r="C566" s="88"/>
      <c r="D566" s="89"/>
      <c r="E566" s="71"/>
      <c r="F566" s="11"/>
      <c r="G566" s="90"/>
      <c r="H566" s="89"/>
      <c r="I566" s="91"/>
    </row>
    <row r="567" customFormat="false" ht="12.75" hidden="false" customHeight="true" outlineLevel="0" collapsed="false">
      <c r="C567" s="88"/>
      <c r="D567" s="89"/>
      <c r="E567" s="71"/>
      <c r="F567" s="11"/>
      <c r="G567" s="90"/>
      <c r="H567" s="89"/>
      <c r="I567" s="91"/>
    </row>
    <row r="568" customFormat="false" ht="12.75" hidden="false" customHeight="true" outlineLevel="0" collapsed="false">
      <c r="C568" s="88"/>
      <c r="D568" s="89"/>
      <c r="E568" s="71"/>
      <c r="F568" s="11"/>
      <c r="G568" s="90"/>
      <c r="H568" s="89"/>
      <c r="I568" s="91"/>
    </row>
    <row r="569" customFormat="false" ht="12.75" hidden="false" customHeight="true" outlineLevel="0" collapsed="false">
      <c r="C569" s="88"/>
      <c r="D569" s="89"/>
      <c r="E569" s="71"/>
      <c r="F569" s="11"/>
      <c r="G569" s="90"/>
      <c r="H569" s="89"/>
      <c r="I569" s="91"/>
    </row>
    <row r="570" customFormat="false" ht="12.75" hidden="false" customHeight="true" outlineLevel="0" collapsed="false">
      <c r="C570" s="88"/>
      <c r="D570" s="89"/>
      <c r="E570" s="71"/>
      <c r="F570" s="11"/>
      <c r="G570" s="90"/>
      <c r="H570" s="89"/>
      <c r="I570" s="91"/>
    </row>
    <row r="571" customFormat="false" ht="12.75" hidden="false" customHeight="true" outlineLevel="0" collapsed="false">
      <c r="C571" s="88"/>
      <c r="D571" s="89"/>
      <c r="E571" s="71"/>
      <c r="F571" s="11"/>
      <c r="G571" s="90"/>
      <c r="H571" s="89"/>
      <c r="I571" s="91"/>
    </row>
    <row r="572" customFormat="false" ht="12.75" hidden="false" customHeight="true" outlineLevel="0" collapsed="false">
      <c r="C572" s="88"/>
      <c r="D572" s="89"/>
      <c r="E572" s="71"/>
      <c r="F572" s="11"/>
      <c r="G572" s="90"/>
      <c r="H572" s="89"/>
      <c r="I572" s="91"/>
    </row>
    <row r="573" customFormat="false" ht="12.75" hidden="false" customHeight="true" outlineLevel="0" collapsed="false">
      <c r="C573" s="88"/>
      <c r="D573" s="89"/>
      <c r="E573" s="71"/>
      <c r="F573" s="11"/>
      <c r="G573" s="90"/>
      <c r="H573" s="89"/>
      <c r="I573" s="91"/>
    </row>
    <row r="574" customFormat="false" ht="12.75" hidden="false" customHeight="true" outlineLevel="0" collapsed="false">
      <c r="C574" s="88"/>
      <c r="D574" s="89"/>
      <c r="E574" s="71"/>
      <c r="F574" s="11"/>
      <c r="G574" s="90"/>
      <c r="H574" s="89"/>
      <c r="I574" s="91"/>
    </row>
    <row r="575" customFormat="false" ht="12.75" hidden="false" customHeight="true" outlineLevel="0" collapsed="false">
      <c r="C575" s="88"/>
      <c r="D575" s="89"/>
      <c r="E575" s="71"/>
      <c r="F575" s="11"/>
      <c r="G575" s="90"/>
      <c r="H575" s="89"/>
      <c r="I575" s="91"/>
    </row>
    <row r="576" customFormat="false" ht="12.75" hidden="false" customHeight="true" outlineLevel="0" collapsed="false">
      <c r="C576" s="88"/>
      <c r="D576" s="89"/>
      <c r="E576" s="71"/>
      <c r="F576" s="11"/>
      <c r="G576" s="90"/>
      <c r="H576" s="89"/>
      <c r="I576" s="91"/>
    </row>
    <row r="577" customFormat="false" ht="12.75" hidden="false" customHeight="true" outlineLevel="0" collapsed="false">
      <c r="C577" s="88"/>
      <c r="D577" s="89"/>
      <c r="E577" s="71"/>
      <c r="F577" s="11"/>
      <c r="G577" s="90"/>
      <c r="H577" s="89"/>
      <c r="I577" s="91"/>
    </row>
    <row r="578" customFormat="false" ht="12.75" hidden="false" customHeight="true" outlineLevel="0" collapsed="false">
      <c r="C578" s="88"/>
      <c r="D578" s="89"/>
      <c r="E578" s="71"/>
      <c r="F578" s="11"/>
      <c r="G578" s="90"/>
      <c r="H578" s="89"/>
      <c r="I578" s="91"/>
    </row>
    <row r="579" customFormat="false" ht="12.75" hidden="false" customHeight="true" outlineLevel="0" collapsed="false">
      <c r="C579" s="88"/>
      <c r="D579" s="89"/>
      <c r="E579" s="71"/>
      <c r="F579" s="11"/>
      <c r="G579" s="90"/>
      <c r="H579" s="89"/>
      <c r="I579" s="91"/>
    </row>
    <row r="580" customFormat="false" ht="12.75" hidden="false" customHeight="true" outlineLevel="0" collapsed="false">
      <c r="C580" s="88"/>
      <c r="D580" s="89"/>
      <c r="E580" s="71"/>
      <c r="F580" s="11"/>
      <c r="G580" s="90"/>
      <c r="H580" s="89"/>
      <c r="I580" s="91"/>
    </row>
    <row r="581" customFormat="false" ht="12.75" hidden="false" customHeight="true" outlineLevel="0" collapsed="false">
      <c r="C581" s="88"/>
      <c r="D581" s="89"/>
      <c r="E581" s="71"/>
      <c r="F581" s="11"/>
      <c r="G581" s="90"/>
      <c r="H581" s="89"/>
      <c r="I581" s="91"/>
    </row>
    <row r="582" customFormat="false" ht="12.75" hidden="false" customHeight="true" outlineLevel="0" collapsed="false">
      <c r="C582" s="88"/>
      <c r="D582" s="89"/>
      <c r="E582" s="71"/>
      <c r="F582" s="11"/>
      <c r="G582" s="90"/>
      <c r="H582" s="89"/>
      <c r="I582" s="91"/>
    </row>
    <row r="583" customFormat="false" ht="12.75" hidden="false" customHeight="true" outlineLevel="0" collapsed="false">
      <c r="C583" s="88"/>
      <c r="D583" s="89"/>
      <c r="E583" s="71"/>
      <c r="F583" s="11"/>
      <c r="G583" s="90"/>
      <c r="H583" s="89"/>
      <c r="I583" s="91"/>
    </row>
    <row r="584" customFormat="false" ht="12.75" hidden="false" customHeight="true" outlineLevel="0" collapsed="false">
      <c r="C584" s="88"/>
      <c r="D584" s="89"/>
      <c r="E584" s="71"/>
      <c r="F584" s="11"/>
      <c r="G584" s="90"/>
      <c r="H584" s="89"/>
      <c r="I584" s="91"/>
    </row>
    <row r="585" customFormat="false" ht="12.75" hidden="false" customHeight="true" outlineLevel="0" collapsed="false">
      <c r="C585" s="88"/>
      <c r="D585" s="89"/>
      <c r="E585" s="71"/>
      <c r="F585" s="11"/>
      <c r="G585" s="90"/>
      <c r="H585" s="89"/>
      <c r="I585" s="91"/>
    </row>
    <row r="586" customFormat="false" ht="12.75" hidden="false" customHeight="true" outlineLevel="0" collapsed="false">
      <c r="C586" s="88"/>
      <c r="D586" s="89"/>
      <c r="E586" s="71"/>
      <c r="F586" s="11"/>
      <c r="G586" s="90"/>
      <c r="H586" s="89"/>
      <c r="I586" s="91"/>
    </row>
    <row r="587" customFormat="false" ht="12.75" hidden="false" customHeight="true" outlineLevel="0" collapsed="false">
      <c r="C587" s="88"/>
      <c r="D587" s="89"/>
      <c r="E587" s="71"/>
      <c r="F587" s="11"/>
      <c r="G587" s="90"/>
      <c r="H587" s="89"/>
      <c r="I587" s="91"/>
    </row>
    <row r="588" customFormat="false" ht="12.75" hidden="false" customHeight="true" outlineLevel="0" collapsed="false">
      <c r="C588" s="88"/>
      <c r="D588" s="89"/>
      <c r="E588" s="71"/>
      <c r="F588" s="11"/>
      <c r="G588" s="90"/>
      <c r="H588" s="89"/>
      <c r="I588" s="91"/>
    </row>
    <row r="589" customFormat="false" ht="12.75" hidden="false" customHeight="true" outlineLevel="0" collapsed="false">
      <c r="C589" s="88"/>
      <c r="D589" s="89"/>
      <c r="E589" s="71"/>
      <c r="F589" s="11"/>
      <c r="G589" s="90"/>
      <c r="H589" s="89"/>
      <c r="I589" s="91"/>
    </row>
    <row r="590" customFormat="false" ht="12.75" hidden="false" customHeight="true" outlineLevel="0" collapsed="false">
      <c r="C590" s="88"/>
      <c r="D590" s="89"/>
      <c r="E590" s="71"/>
      <c r="F590" s="11"/>
      <c r="G590" s="90"/>
      <c r="H590" s="89"/>
      <c r="I590" s="91"/>
    </row>
    <row r="591" customFormat="false" ht="12.75" hidden="false" customHeight="true" outlineLevel="0" collapsed="false">
      <c r="C591" s="88"/>
      <c r="D591" s="89"/>
      <c r="E591" s="71"/>
      <c r="F591" s="11"/>
      <c r="G591" s="90"/>
      <c r="H591" s="89"/>
      <c r="I591" s="91"/>
    </row>
    <row r="592" customFormat="false" ht="12.75" hidden="false" customHeight="true" outlineLevel="0" collapsed="false">
      <c r="C592" s="88"/>
      <c r="D592" s="89"/>
      <c r="E592" s="71"/>
      <c r="F592" s="11"/>
      <c r="G592" s="90"/>
      <c r="H592" s="89"/>
      <c r="I592" s="91"/>
    </row>
    <row r="593" customFormat="false" ht="12.75" hidden="false" customHeight="true" outlineLevel="0" collapsed="false">
      <c r="C593" s="88"/>
      <c r="D593" s="89"/>
      <c r="E593" s="71"/>
      <c r="F593" s="11"/>
      <c r="G593" s="90"/>
      <c r="H593" s="89"/>
      <c r="I593" s="91"/>
    </row>
    <row r="594" customFormat="false" ht="12.75" hidden="false" customHeight="true" outlineLevel="0" collapsed="false">
      <c r="C594" s="88"/>
      <c r="D594" s="89"/>
      <c r="E594" s="71"/>
      <c r="F594" s="11"/>
      <c r="G594" s="90"/>
      <c r="H594" s="89"/>
      <c r="I594" s="91"/>
    </row>
    <row r="595" customFormat="false" ht="12.75" hidden="false" customHeight="true" outlineLevel="0" collapsed="false">
      <c r="C595" s="88"/>
      <c r="D595" s="89"/>
      <c r="E595" s="71"/>
      <c r="F595" s="11"/>
      <c r="G595" s="90"/>
      <c r="H595" s="89"/>
      <c r="I595" s="91"/>
    </row>
    <row r="596" customFormat="false" ht="12.75" hidden="false" customHeight="true" outlineLevel="0" collapsed="false">
      <c r="C596" s="88"/>
      <c r="D596" s="89"/>
      <c r="E596" s="71"/>
      <c r="F596" s="11"/>
      <c r="G596" s="90"/>
      <c r="H596" s="89"/>
      <c r="I596" s="91"/>
    </row>
    <row r="597" customFormat="false" ht="12.75" hidden="false" customHeight="true" outlineLevel="0" collapsed="false">
      <c r="C597" s="88"/>
      <c r="D597" s="89"/>
      <c r="E597" s="71"/>
      <c r="F597" s="11"/>
      <c r="G597" s="90"/>
      <c r="H597" s="89"/>
      <c r="I597" s="91"/>
    </row>
    <row r="598" customFormat="false" ht="12.75" hidden="false" customHeight="true" outlineLevel="0" collapsed="false">
      <c r="C598" s="88"/>
      <c r="D598" s="89"/>
      <c r="E598" s="71"/>
      <c r="F598" s="11"/>
      <c r="G598" s="90"/>
      <c r="H598" s="89"/>
      <c r="I598" s="91"/>
    </row>
    <row r="599" customFormat="false" ht="12.75" hidden="false" customHeight="true" outlineLevel="0" collapsed="false">
      <c r="C599" s="88"/>
      <c r="D599" s="89"/>
      <c r="E599" s="71"/>
      <c r="F599" s="11"/>
      <c r="G599" s="90"/>
      <c r="H599" s="89"/>
      <c r="I599" s="91"/>
    </row>
    <row r="600" customFormat="false" ht="12.75" hidden="false" customHeight="true" outlineLevel="0" collapsed="false">
      <c r="C600" s="88"/>
      <c r="D600" s="89"/>
      <c r="E600" s="71"/>
      <c r="F600" s="11"/>
      <c r="G600" s="90"/>
      <c r="H600" s="89"/>
      <c r="I600" s="91"/>
    </row>
    <row r="601" customFormat="false" ht="12.75" hidden="false" customHeight="true" outlineLevel="0" collapsed="false">
      <c r="C601" s="88"/>
      <c r="D601" s="89"/>
      <c r="E601" s="71"/>
      <c r="F601" s="11"/>
      <c r="G601" s="90"/>
      <c r="H601" s="89"/>
      <c r="I601" s="91"/>
    </row>
    <row r="602" customFormat="false" ht="12.75" hidden="false" customHeight="true" outlineLevel="0" collapsed="false">
      <c r="C602" s="88"/>
      <c r="D602" s="89"/>
      <c r="E602" s="71"/>
      <c r="F602" s="11"/>
      <c r="G602" s="90"/>
      <c r="H602" s="89"/>
      <c r="I602" s="91"/>
    </row>
    <row r="603" customFormat="false" ht="12.75" hidden="false" customHeight="true" outlineLevel="0" collapsed="false">
      <c r="C603" s="88"/>
      <c r="D603" s="89"/>
      <c r="E603" s="71"/>
      <c r="F603" s="11"/>
      <c r="G603" s="90"/>
      <c r="H603" s="89"/>
      <c r="I603" s="91"/>
    </row>
    <row r="604" customFormat="false" ht="12.75" hidden="false" customHeight="true" outlineLevel="0" collapsed="false">
      <c r="C604" s="88"/>
      <c r="D604" s="89"/>
      <c r="E604" s="71"/>
      <c r="F604" s="11"/>
      <c r="G604" s="90"/>
      <c r="H604" s="89"/>
      <c r="I604" s="91"/>
    </row>
    <row r="605" customFormat="false" ht="12.75" hidden="false" customHeight="true" outlineLevel="0" collapsed="false">
      <c r="C605" s="88"/>
      <c r="D605" s="89"/>
      <c r="E605" s="71"/>
      <c r="F605" s="11"/>
      <c r="G605" s="90"/>
      <c r="H605" s="89"/>
      <c r="I605" s="91"/>
    </row>
    <row r="606" customFormat="false" ht="12.75" hidden="false" customHeight="true" outlineLevel="0" collapsed="false">
      <c r="C606" s="88"/>
      <c r="D606" s="89"/>
      <c r="E606" s="71"/>
      <c r="F606" s="11"/>
      <c r="G606" s="90"/>
      <c r="H606" s="89"/>
      <c r="I606" s="91"/>
    </row>
    <row r="607" customFormat="false" ht="12.75" hidden="false" customHeight="true" outlineLevel="0" collapsed="false">
      <c r="C607" s="88"/>
      <c r="D607" s="89"/>
      <c r="E607" s="71"/>
      <c r="F607" s="11"/>
      <c r="G607" s="90"/>
      <c r="H607" s="89"/>
      <c r="I607" s="91"/>
    </row>
    <row r="608" customFormat="false" ht="12.75" hidden="false" customHeight="true" outlineLevel="0" collapsed="false">
      <c r="C608" s="88"/>
      <c r="D608" s="89"/>
      <c r="E608" s="71"/>
      <c r="F608" s="11"/>
      <c r="G608" s="90"/>
      <c r="H608" s="89"/>
      <c r="I608" s="91"/>
    </row>
    <row r="609" customFormat="false" ht="12.75" hidden="false" customHeight="true" outlineLevel="0" collapsed="false">
      <c r="C609" s="88"/>
      <c r="D609" s="89"/>
      <c r="E609" s="71"/>
      <c r="F609" s="11"/>
      <c r="G609" s="90"/>
      <c r="H609" s="89"/>
      <c r="I609" s="91"/>
    </row>
    <row r="610" customFormat="false" ht="12.75" hidden="false" customHeight="true" outlineLevel="0" collapsed="false">
      <c r="C610" s="88"/>
      <c r="D610" s="89"/>
      <c r="E610" s="71"/>
      <c r="F610" s="11"/>
      <c r="G610" s="90"/>
      <c r="H610" s="89"/>
      <c r="I610" s="91"/>
    </row>
    <row r="611" customFormat="false" ht="12.75" hidden="false" customHeight="true" outlineLevel="0" collapsed="false">
      <c r="C611" s="88"/>
      <c r="D611" s="89"/>
      <c r="E611" s="71"/>
      <c r="F611" s="11"/>
      <c r="G611" s="90"/>
      <c r="H611" s="89"/>
      <c r="I611" s="91"/>
    </row>
    <row r="612" customFormat="false" ht="12.75" hidden="false" customHeight="true" outlineLevel="0" collapsed="false">
      <c r="C612" s="88"/>
      <c r="D612" s="89"/>
      <c r="E612" s="71"/>
      <c r="F612" s="11"/>
      <c r="G612" s="90"/>
      <c r="H612" s="89"/>
      <c r="I612" s="91"/>
    </row>
    <row r="613" customFormat="false" ht="12.75" hidden="false" customHeight="true" outlineLevel="0" collapsed="false">
      <c r="C613" s="88"/>
      <c r="D613" s="89"/>
      <c r="E613" s="71"/>
      <c r="F613" s="11"/>
      <c r="G613" s="90"/>
      <c r="H613" s="89"/>
      <c r="I613" s="91"/>
    </row>
    <row r="614" customFormat="false" ht="12.75" hidden="false" customHeight="true" outlineLevel="0" collapsed="false">
      <c r="C614" s="88"/>
      <c r="D614" s="89"/>
      <c r="E614" s="71"/>
      <c r="F614" s="11"/>
      <c r="G614" s="90"/>
      <c r="H614" s="89"/>
      <c r="I614" s="91"/>
    </row>
    <row r="615" customFormat="false" ht="12.75" hidden="false" customHeight="true" outlineLevel="0" collapsed="false">
      <c r="C615" s="88"/>
      <c r="D615" s="89"/>
      <c r="E615" s="71"/>
      <c r="F615" s="11"/>
      <c r="G615" s="90"/>
      <c r="H615" s="89"/>
      <c r="I615" s="91"/>
    </row>
    <row r="616" customFormat="false" ht="12.75" hidden="false" customHeight="true" outlineLevel="0" collapsed="false">
      <c r="C616" s="88"/>
      <c r="D616" s="89"/>
      <c r="E616" s="71"/>
      <c r="F616" s="11"/>
      <c r="G616" s="90"/>
      <c r="H616" s="89"/>
      <c r="I616" s="91"/>
    </row>
    <row r="617" customFormat="false" ht="12.75" hidden="false" customHeight="true" outlineLevel="0" collapsed="false">
      <c r="C617" s="88"/>
      <c r="D617" s="89"/>
      <c r="E617" s="71"/>
      <c r="F617" s="11"/>
      <c r="G617" s="90"/>
      <c r="H617" s="89"/>
      <c r="I617" s="91"/>
    </row>
    <row r="618" customFormat="false" ht="12.75" hidden="false" customHeight="true" outlineLevel="0" collapsed="false">
      <c r="C618" s="88"/>
      <c r="D618" s="89"/>
      <c r="E618" s="71"/>
      <c r="F618" s="11"/>
      <c r="G618" s="90"/>
      <c r="H618" s="89"/>
      <c r="I618" s="91"/>
    </row>
    <row r="619" customFormat="false" ht="12.75" hidden="false" customHeight="true" outlineLevel="0" collapsed="false">
      <c r="C619" s="88"/>
      <c r="D619" s="89"/>
      <c r="E619" s="71"/>
      <c r="F619" s="11"/>
      <c r="G619" s="90"/>
      <c r="H619" s="89"/>
      <c r="I619" s="91"/>
    </row>
    <row r="620" customFormat="false" ht="12.75" hidden="false" customHeight="true" outlineLevel="0" collapsed="false">
      <c r="C620" s="88"/>
      <c r="D620" s="89"/>
      <c r="E620" s="71"/>
      <c r="F620" s="11"/>
      <c r="G620" s="90"/>
      <c r="H620" s="89"/>
      <c r="I620" s="91"/>
    </row>
    <row r="621" customFormat="false" ht="12.75" hidden="false" customHeight="true" outlineLevel="0" collapsed="false">
      <c r="C621" s="88"/>
      <c r="D621" s="89"/>
      <c r="E621" s="71"/>
      <c r="F621" s="11"/>
      <c r="G621" s="90"/>
      <c r="H621" s="89"/>
      <c r="I621" s="91"/>
    </row>
    <row r="622" customFormat="false" ht="12.75" hidden="false" customHeight="true" outlineLevel="0" collapsed="false">
      <c r="C622" s="88"/>
      <c r="D622" s="89"/>
      <c r="E622" s="71"/>
      <c r="F622" s="11"/>
      <c r="G622" s="90"/>
      <c r="H622" s="89"/>
      <c r="I622" s="91"/>
    </row>
    <row r="623" customFormat="false" ht="12.75" hidden="false" customHeight="true" outlineLevel="0" collapsed="false">
      <c r="C623" s="88"/>
      <c r="D623" s="89"/>
      <c r="E623" s="71"/>
      <c r="F623" s="11"/>
      <c r="G623" s="90"/>
      <c r="H623" s="89"/>
      <c r="I623" s="91"/>
    </row>
    <row r="624" customFormat="false" ht="12.75" hidden="false" customHeight="true" outlineLevel="0" collapsed="false">
      <c r="C624" s="88"/>
      <c r="D624" s="89"/>
      <c r="E624" s="71"/>
      <c r="F624" s="11"/>
      <c r="G624" s="90"/>
      <c r="H624" s="89"/>
      <c r="I624" s="91"/>
    </row>
    <row r="625" customFormat="false" ht="12.75" hidden="false" customHeight="true" outlineLevel="0" collapsed="false">
      <c r="C625" s="88"/>
      <c r="D625" s="89"/>
      <c r="E625" s="71"/>
      <c r="F625" s="11"/>
      <c r="G625" s="90"/>
      <c r="H625" s="89"/>
      <c r="I625" s="91"/>
    </row>
    <row r="626" customFormat="false" ht="12.75" hidden="false" customHeight="true" outlineLevel="0" collapsed="false">
      <c r="C626" s="88"/>
      <c r="D626" s="89"/>
      <c r="E626" s="71"/>
      <c r="F626" s="11"/>
      <c r="G626" s="90"/>
      <c r="H626" s="89"/>
      <c r="I626" s="91"/>
    </row>
    <row r="627" customFormat="false" ht="12.75" hidden="false" customHeight="true" outlineLevel="0" collapsed="false">
      <c r="C627" s="88"/>
      <c r="D627" s="89"/>
      <c r="E627" s="71"/>
      <c r="F627" s="11"/>
      <c r="G627" s="90"/>
      <c r="H627" s="89"/>
      <c r="I627" s="91"/>
    </row>
    <row r="628" customFormat="false" ht="12.75" hidden="false" customHeight="true" outlineLevel="0" collapsed="false">
      <c r="C628" s="88"/>
      <c r="D628" s="89"/>
      <c r="E628" s="71"/>
      <c r="F628" s="11"/>
      <c r="G628" s="90"/>
      <c r="H628" s="89"/>
      <c r="I628" s="91"/>
    </row>
    <row r="629" customFormat="false" ht="12.75" hidden="false" customHeight="true" outlineLevel="0" collapsed="false">
      <c r="C629" s="88"/>
      <c r="D629" s="89"/>
      <c r="E629" s="71"/>
      <c r="F629" s="11"/>
      <c r="G629" s="90"/>
      <c r="H629" s="89"/>
      <c r="I629" s="91"/>
    </row>
    <row r="630" customFormat="false" ht="12.75" hidden="false" customHeight="true" outlineLevel="0" collapsed="false">
      <c r="C630" s="88"/>
      <c r="D630" s="89"/>
      <c r="E630" s="71"/>
      <c r="F630" s="11"/>
      <c r="G630" s="90"/>
      <c r="H630" s="89"/>
      <c r="I630" s="91"/>
    </row>
    <row r="631" customFormat="false" ht="12.75" hidden="false" customHeight="true" outlineLevel="0" collapsed="false">
      <c r="C631" s="88"/>
      <c r="D631" s="89"/>
      <c r="E631" s="71"/>
      <c r="F631" s="11"/>
      <c r="G631" s="90"/>
      <c r="H631" s="89"/>
      <c r="I631" s="91"/>
    </row>
    <row r="632" customFormat="false" ht="12.75" hidden="false" customHeight="true" outlineLevel="0" collapsed="false">
      <c r="C632" s="88"/>
      <c r="D632" s="89"/>
      <c r="E632" s="71"/>
      <c r="F632" s="11"/>
      <c r="G632" s="90"/>
      <c r="H632" s="89"/>
      <c r="I632" s="91"/>
    </row>
    <row r="633" customFormat="false" ht="12.75" hidden="false" customHeight="true" outlineLevel="0" collapsed="false">
      <c r="C633" s="88"/>
      <c r="D633" s="89"/>
      <c r="E633" s="71"/>
      <c r="F633" s="11"/>
      <c r="G633" s="90"/>
      <c r="H633" s="89"/>
      <c r="I633" s="91"/>
    </row>
    <row r="634" customFormat="false" ht="12.75" hidden="false" customHeight="true" outlineLevel="0" collapsed="false">
      <c r="C634" s="88"/>
      <c r="D634" s="89"/>
      <c r="E634" s="71"/>
      <c r="F634" s="11"/>
      <c r="G634" s="90"/>
      <c r="H634" s="89"/>
      <c r="I634" s="91"/>
    </row>
    <row r="635" customFormat="false" ht="12.75" hidden="false" customHeight="true" outlineLevel="0" collapsed="false">
      <c r="C635" s="88"/>
      <c r="D635" s="89"/>
      <c r="E635" s="71"/>
      <c r="F635" s="11"/>
      <c r="G635" s="90"/>
      <c r="H635" s="89"/>
      <c r="I635" s="91"/>
    </row>
    <row r="636" customFormat="false" ht="12.75" hidden="false" customHeight="true" outlineLevel="0" collapsed="false">
      <c r="C636" s="88"/>
      <c r="D636" s="89"/>
      <c r="E636" s="71"/>
      <c r="F636" s="11"/>
      <c r="G636" s="90"/>
      <c r="H636" s="89"/>
      <c r="I636" s="91"/>
    </row>
    <row r="637" customFormat="false" ht="12.75" hidden="false" customHeight="true" outlineLevel="0" collapsed="false">
      <c r="C637" s="88"/>
      <c r="D637" s="89"/>
      <c r="E637" s="71"/>
      <c r="F637" s="11"/>
      <c r="G637" s="90"/>
      <c r="H637" s="89"/>
      <c r="I637" s="91"/>
    </row>
    <row r="638" customFormat="false" ht="12.75" hidden="false" customHeight="true" outlineLevel="0" collapsed="false">
      <c r="C638" s="88"/>
      <c r="D638" s="89"/>
      <c r="E638" s="71"/>
      <c r="F638" s="11"/>
      <c r="G638" s="90"/>
      <c r="H638" s="89"/>
      <c r="I638" s="91"/>
    </row>
    <row r="639" customFormat="false" ht="12.75" hidden="false" customHeight="true" outlineLevel="0" collapsed="false">
      <c r="C639" s="88"/>
      <c r="D639" s="89"/>
      <c r="E639" s="71"/>
      <c r="F639" s="11"/>
      <c r="G639" s="90"/>
      <c r="H639" s="89"/>
      <c r="I639" s="91"/>
    </row>
    <row r="640" customFormat="false" ht="12.75" hidden="false" customHeight="true" outlineLevel="0" collapsed="false">
      <c r="C640" s="88"/>
      <c r="D640" s="89"/>
      <c r="E640" s="71"/>
      <c r="F640" s="11"/>
      <c r="G640" s="90"/>
      <c r="H640" s="89"/>
      <c r="I640" s="91"/>
    </row>
    <row r="641" customFormat="false" ht="12.75" hidden="false" customHeight="true" outlineLevel="0" collapsed="false">
      <c r="C641" s="88"/>
      <c r="D641" s="89"/>
      <c r="E641" s="71"/>
      <c r="F641" s="11"/>
      <c r="G641" s="90"/>
      <c r="H641" s="89"/>
      <c r="I641" s="91"/>
    </row>
    <row r="642" customFormat="false" ht="12.75" hidden="false" customHeight="true" outlineLevel="0" collapsed="false">
      <c r="C642" s="88"/>
      <c r="D642" s="89"/>
      <c r="E642" s="71"/>
      <c r="F642" s="11"/>
      <c r="G642" s="90"/>
      <c r="H642" s="89"/>
      <c r="I642" s="91"/>
    </row>
    <row r="643" customFormat="false" ht="12.75" hidden="false" customHeight="true" outlineLevel="0" collapsed="false">
      <c r="C643" s="88"/>
      <c r="D643" s="89"/>
      <c r="E643" s="71"/>
      <c r="F643" s="11"/>
      <c r="G643" s="90"/>
      <c r="H643" s="89"/>
      <c r="I643" s="91"/>
    </row>
    <row r="644" customFormat="false" ht="12.75" hidden="false" customHeight="true" outlineLevel="0" collapsed="false">
      <c r="C644" s="88"/>
      <c r="D644" s="89"/>
      <c r="E644" s="71"/>
      <c r="F644" s="11"/>
      <c r="G644" s="90"/>
      <c r="H644" s="89"/>
      <c r="I644" s="91"/>
    </row>
    <row r="645" customFormat="false" ht="12.75" hidden="false" customHeight="true" outlineLevel="0" collapsed="false">
      <c r="C645" s="88"/>
      <c r="D645" s="89"/>
      <c r="E645" s="71"/>
      <c r="F645" s="11"/>
      <c r="G645" s="90"/>
      <c r="H645" s="89"/>
      <c r="I645" s="91"/>
    </row>
    <row r="646" customFormat="false" ht="12.75" hidden="false" customHeight="true" outlineLevel="0" collapsed="false">
      <c r="C646" s="88"/>
      <c r="D646" s="89"/>
      <c r="E646" s="71"/>
      <c r="F646" s="11"/>
      <c r="G646" s="90"/>
      <c r="H646" s="89"/>
      <c r="I646" s="91"/>
    </row>
    <row r="647" customFormat="false" ht="12.75" hidden="false" customHeight="true" outlineLevel="0" collapsed="false">
      <c r="C647" s="88"/>
      <c r="D647" s="89"/>
      <c r="E647" s="71"/>
      <c r="F647" s="11"/>
      <c r="G647" s="90"/>
      <c r="H647" s="89"/>
      <c r="I647" s="91"/>
    </row>
    <row r="648" customFormat="false" ht="12.75" hidden="false" customHeight="true" outlineLevel="0" collapsed="false">
      <c r="C648" s="88"/>
      <c r="D648" s="89"/>
      <c r="E648" s="71"/>
      <c r="F648" s="11"/>
      <c r="G648" s="90"/>
      <c r="H648" s="89"/>
      <c r="I648" s="91"/>
    </row>
    <row r="649" customFormat="false" ht="12.75" hidden="false" customHeight="true" outlineLevel="0" collapsed="false">
      <c r="C649" s="88"/>
      <c r="D649" s="89"/>
      <c r="E649" s="71"/>
      <c r="F649" s="11"/>
      <c r="G649" s="90"/>
      <c r="H649" s="89"/>
      <c r="I649" s="91"/>
    </row>
    <row r="650" customFormat="false" ht="12.75" hidden="false" customHeight="true" outlineLevel="0" collapsed="false">
      <c r="C650" s="88"/>
      <c r="D650" s="89"/>
      <c r="E650" s="71"/>
      <c r="F650" s="11"/>
      <c r="G650" s="90"/>
      <c r="H650" s="89"/>
      <c r="I650" s="91"/>
    </row>
    <row r="651" customFormat="false" ht="12.75" hidden="false" customHeight="true" outlineLevel="0" collapsed="false">
      <c r="C651" s="88"/>
      <c r="D651" s="89"/>
      <c r="E651" s="71"/>
      <c r="F651" s="11"/>
      <c r="G651" s="90"/>
      <c r="H651" s="89"/>
      <c r="I651" s="91"/>
    </row>
    <row r="652" customFormat="false" ht="12.75" hidden="false" customHeight="true" outlineLevel="0" collapsed="false">
      <c r="C652" s="88"/>
      <c r="D652" s="89"/>
      <c r="E652" s="71"/>
      <c r="F652" s="11"/>
      <c r="G652" s="90"/>
      <c r="H652" s="89"/>
      <c r="I652" s="91"/>
    </row>
    <row r="653" customFormat="false" ht="12.75" hidden="false" customHeight="true" outlineLevel="0" collapsed="false">
      <c r="C653" s="88"/>
      <c r="D653" s="89"/>
      <c r="E653" s="71"/>
      <c r="F653" s="11"/>
      <c r="G653" s="90"/>
      <c r="H653" s="89"/>
      <c r="I653" s="91"/>
    </row>
    <row r="654" customFormat="false" ht="12.75" hidden="false" customHeight="true" outlineLevel="0" collapsed="false">
      <c r="C654" s="88"/>
      <c r="D654" s="89"/>
      <c r="E654" s="71"/>
      <c r="F654" s="11"/>
      <c r="G654" s="90"/>
      <c r="H654" s="89"/>
      <c r="I654" s="91"/>
    </row>
    <row r="655" customFormat="false" ht="12.75" hidden="false" customHeight="true" outlineLevel="0" collapsed="false">
      <c r="C655" s="88"/>
      <c r="D655" s="89"/>
      <c r="E655" s="71"/>
      <c r="F655" s="11"/>
      <c r="G655" s="90"/>
      <c r="H655" s="89"/>
      <c r="I655" s="91"/>
    </row>
    <row r="656" customFormat="false" ht="12.75" hidden="false" customHeight="true" outlineLevel="0" collapsed="false">
      <c r="C656" s="88"/>
      <c r="D656" s="89"/>
      <c r="E656" s="71"/>
      <c r="F656" s="11"/>
      <c r="G656" s="90"/>
      <c r="H656" s="89"/>
      <c r="I656" s="91"/>
    </row>
    <row r="657" customFormat="false" ht="12.75" hidden="false" customHeight="true" outlineLevel="0" collapsed="false">
      <c r="C657" s="88"/>
      <c r="D657" s="89"/>
      <c r="E657" s="71"/>
      <c r="F657" s="11"/>
      <c r="G657" s="90"/>
      <c r="H657" s="89"/>
      <c r="I657" s="91"/>
    </row>
    <row r="658" customFormat="false" ht="12.75" hidden="false" customHeight="true" outlineLevel="0" collapsed="false">
      <c r="C658" s="88"/>
      <c r="D658" s="89"/>
      <c r="E658" s="71"/>
      <c r="F658" s="11"/>
      <c r="G658" s="90"/>
      <c r="H658" s="89"/>
      <c r="I658" s="91"/>
    </row>
    <row r="659" customFormat="false" ht="12.75" hidden="false" customHeight="true" outlineLevel="0" collapsed="false">
      <c r="C659" s="88"/>
      <c r="D659" s="89"/>
      <c r="E659" s="71"/>
      <c r="F659" s="11"/>
      <c r="G659" s="90"/>
      <c r="H659" s="89"/>
      <c r="I659" s="91"/>
    </row>
    <row r="660" customFormat="false" ht="12.75" hidden="false" customHeight="true" outlineLevel="0" collapsed="false">
      <c r="C660" s="88"/>
      <c r="D660" s="89"/>
      <c r="E660" s="71"/>
      <c r="F660" s="11"/>
      <c r="G660" s="90"/>
      <c r="H660" s="89"/>
      <c r="I660" s="91"/>
    </row>
    <row r="661" customFormat="false" ht="12.75" hidden="false" customHeight="true" outlineLevel="0" collapsed="false">
      <c r="C661" s="88"/>
      <c r="D661" s="89"/>
      <c r="E661" s="71"/>
      <c r="F661" s="11"/>
      <c r="G661" s="90"/>
      <c r="H661" s="89"/>
      <c r="I661" s="91"/>
    </row>
    <row r="662" customFormat="false" ht="12.75" hidden="false" customHeight="true" outlineLevel="0" collapsed="false">
      <c r="C662" s="88"/>
      <c r="D662" s="89"/>
      <c r="E662" s="71"/>
      <c r="F662" s="11"/>
      <c r="G662" s="90"/>
      <c r="H662" s="89"/>
      <c r="I662" s="91"/>
    </row>
    <row r="663" customFormat="false" ht="12.75" hidden="false" customHeight="true" outlineLevel="0" collapsed="false">
      <c r="C663" s="88"/>
      <c r="D663" s="89"/>
      <c r="E663" s="71"/>
      <c r="F663" s="11"/>
      <c r="G663" s="90"/>
      <c r="H663" s="89"/>
      <c r="I663" s="91"/>
    </row>
    <row r="664" customFormat="false" ht="12.75" hidden="false" customHeight="true" outlineLevel="0" collapsed="false">
      <c r="C664" s="88"/>
      <c r="D664" s="89"/>
      <c r="E664" s="71"/>
      <c r="F664" s="11"/>
      <c r="G664" s="90"/>
      <c r="H664" s="89"/>
      <c r="I664" s="91"/>
    </row>
    <row r="665" customFormat="false" ht="12.75" hidden="false" customHeight="true" outlineLevel="0" collapsed="false">
      <c r="C665" s="88"/>
      <c r="D665" s="89"/>
      <c r="E665" s="71"/>
      <c r="F665" s="11"/>
      <c r="G665" s="90"/>
      <c r="H665" s="89"/>
      <c r="I665" s="91"/>
    </row>
    <row r="666" customFormat="false" ht="12.75" hidden="false" customHeight="true" outlineLevel="0" collapsed="false">
      <c r="C666" s="88"/>
      <c r="D666" s="89"/>
      <c r="E666" s="71"/>
      <c r="F666" s="11"/>
      <c r="G666" s="90"/>
      <c r="H666" s="89"/>
      <c r="I666" s="91"/>
    </row>
    <row r="667" customFormat="false" ht="12.75" hidden="false" customHeight="true" outlineLevel="0" collapsed="false">
      <c r="C667" s="88"/>
      <c r="D667" s="89"/>
      <c r="E667" s="71"/>
      <c r="F667" s="11"/>
      <c r="G667" s="90"/>
      <c r="H667" s="89"/>
      <c r="I667" s="91"/>
    </row>
    <row r="668" customFormat="false" ht="12.75" hidden="false" customHeight="true" outlineLevel="0" collapsed="false">
      <c r="C668" s="88"/>
      <c r="D668" s="89"/>
      <c r="E668" s="71"/>
      <c r="F668" s="11"/>
      <c r="G668" s="90"/>
      <c r="H668" s="89"/>
      <c r="I668" s="91"/>
    </row>
    <row r="669" customFormat="false" ht="12.75" hidden="false" customHeight="true" outlineLevel="0" collapsed="false">
      <c r="C669" s="88"/>
      <c r="D669" s="89"/>
      <c r="E669" s="71"/>
      <c r="F669" s="11"/>
      <c r="G669" s="90"/>
      <c r="H669" s="89"/>
      <c r="I669" s="91"/>
    </row>
    <row r="670" customFormat="false" ht="12.75" hidden="false" customHeight="true" outlineLevel="0" collapsed="false">
      <c r="C670" s="88"/>
      <c r="D670" s="89"/>
      <c r="E670" s="71"/>
      <c r="F670" s="11"/>
      <c r="G670" s="90"/>
      <c r="H670" s="89"/>
      <c r="I670" s="91"/>
    </row>
    <row r="671" customFormat="false" ht="12.75" hidden="false" customHeight="true" outlineLevel="0" collapsed="false">
      <c r="C671" s="88"/>
      <c r="D671" s="89"/>
      <c r="E671" s="71"/>
      <c r="F671" s="11"/>
      <c r="G671" s="90"/>
      <c r="H671" s="89"/>
      <c r="I671" s="91"/>
    </row>
    <row r="672" customFormat="false" ht="12.75" hidden="false" customHeight="true" outlineLevel="0" collapsed="false">
      <c r="C672" s="88"/>
      <c r="D672" s="89"/>
      <c r="E672" s="71"/>
      <c r="F672" s="11"/>
      <c r="G672" s="90"/>
      <c r="H672" s="89"/>
      <c r="I672" s="91"/>
    </row>
    <row r="673" customFormat="false" ht="12.75" hidden="false" customHeight="true" outlineLevel="0" collapsed="false">
      <c r="C673" s="88"/>
      <c r="D673" s="89"/>
      <c r="E673" s="71"/>
      <c r="F673" s="11"/>
      <c r="G673" s="90"/>
      <c r="H673" s="89"/>
      <c r="I673" s="91"/>
    </row>
    <row r="674" customFormat="false" ht="12.75" hidden="false" customHeight="true" outlineLevel="0" collapsed="false">
      <c r="C674" s="88"/>
      <c r="D674" s="89"/>
      <c r="E674" s="71"/>
      <c r="F674" s="11"/>
      <c r="G674" s="90"/>
      <c r="H674" s="89"/>
      <c r="I674" s="91"/>
    </row>
    <row r="675" customFormat="false" ht="12.75" hidden="false" customHeight="true" outlineLevel="0" collapsed="false">
      <c r="C675" s="88"/>
      <c r="D675" s="89"/>
      <c r="E675" s="71"/>
      <c r="F675" s="11"/>
      <c r="G675" s="90"/>
      <c r="H675" s="89"/>
      <c r="I675" s="91"/>
    </row>
    <row r="676" customFormat="false" ht="12.75" hidden="false" customHeight="true" outlineLevel="0" collapsed="false">
      <c r="C676" s="88"/>
      <c r="D676" s="89"/>
      <c r="E676" s="71"/>
      <c r="F676" s="11"/>
      <c r="G676" s="90"/>
      <c r="H676" s="89"/>
      <c r="I676" s="91"/>
    </row>
    <row r="677" customFormat="false" ht="12.75" hidden="false" customHeight="true" outlineLevel="0" collapsed="false">
      <c r="C677" s="88"/>
      <c r="D677" s="89"/>
      <c r="E677" s="71"/>
      <c r="F677" s="11"/>
      <c r="G677" s="90"/>
      <c r="H677" s="89"/>
      <c r="I677" s="91"/>
    </row>
    <row r="678" customFormat="false" ht="12.75" hidden="false" customHeight="true" outlineLevel="0" collapsed="false">
      <c r="C678" s="88"/>
      <c r="D678" s="89"/>
      <c r="E678" s="71"/>
      <c r="F678" s="11"/>
      <c r="G678" s="90"/>
      <c r="H678" s="89"/>
      <c r="I678" s="91"/>
    </row>
    <row r="679" customFormat="false" ht="12.75" hidden="false" customHeight="true" outlineLevel="0" collapsed="false">
      <c r="C679" s="88"/>
      <c r="D679" s="89"/>
      <c r="E679" s="71"/>
      <c r="F679" s="11"/>
      <c r="G679" s="90"/>
      <c r="H679" s="89"/>
      <c r="I679" s="91"/>
    </row>
    <row r="680" customFormat="false" ht="12.75" hidden="false" customHeight="true" outlineLevel="0" collapsed="false">
      <c r="C680" s="88"/>
      <c r="D680" s="89"/>
      <c r="E680" s="71"/>
      <c r="F680" s="11"/>
      <c r="G680" s="90"/>
      <c r="H680" s="89"/>
      <c r="I680" s="91"/>
    </row>
    <row r="681" customFormat="false" ht="12.75" hidden="false" customHeight="true" outlineLevel="0" collapsed="false">
      <c r="C681" s="88"/>
      <c r="D681" s="89"/>
      <c r="E681" s="71"/>
      <c r="F681" s="11"/>
      <c r="G681" s="90"/>
      <c r="H681" s="89"/>
      <c r="I681" s="91"/>
    </row>
    <row r="682" customFormat="false" ht="12.75" hidden="false" customHeight="true" outlineLevel="0" collapsed="false">
      <c r="C682" s="88"/>
      <c r="D682" s="89"/>
      <c r="E682" s="71"/>
      <c r="F682" s="11"/>
      <c r="G682" s="90"/>
      <c r="H682" s="89"/>
      <c r="I682" s="91"/>
    </row>
    <row r="683" customFormat="false" ht="12.75" hidden="false" customHeight="true" outlineLevel="0" collapsed="false">
      <c r="C683" s="88"/>
      <c r="D683" s="89"/>
      <c r="E683" s="71"/>
      <c r="F683" s="11"/>
      <c r="G683" s="90"/>
      <c r="H683" s="89"/>
      <c r="I683" s="91"/>
    </row>
    <row r="684" customFormat="false" ht="12.75" hidden="false" customHeight="true" outlineLevel="0" collapsed="false">
      <c r="C684" s="88"/>
      <c r="D684" s="89"/>
      <c r="E684" s="71"/>
      <c r="F684" s="11"/>
      <c r="G684" s="90"/>
      <c r="H684" s="89"/>
      <c r="I684" s="91"/>
    </row>
    <row r="685" customFormat="false" ht="12.75" hidden="false" customHeight="true" outlineLevel="0" collapsed="false">
      <c r="C685" s="88"/>
      <c r="D685" s="89"/>
      <c r="E685" s="71"/>
      <c r="F685" s="11"/>
      <c r="G685" s="90"/>
      <c r="H685" s="89"/>
      <c r="I685" s="91"/>
    </row>
    <row r="686" customFormat="false" ht="12.75" hidden="false" customHeight="true" outlineLevel="0" collapsed="false">
      <c r="C686" s="88"/>
      <c r="D686" s="89"/>
      <c r="E686" s="71"/>
      <c r="F686" s="11"/>
      <c r="G686" s="90"/>
      <c r="H686" s="89"/>
      <c r="I686" s="91"/>
    </row>
    <row r="687" customFormat="false" ht="12.75" hidden="false" customHeight="true" outlineLevel="0" collapsed="false">
      <c r="C687" s="88"/>
      <c r="D687" s="89"/>
      <c r="E687" s="71"/>
      <c r="F687" s="11"/>
      <c r="G687" s="90"/>
      <c r="H687" s="89"/>
      <c r="I687" s="91"/>
    </row>
    <row r="688" customFormat="false" ht="12.75" hidden="false" customHeight="true" outlineLevel="0" collapsed="false">
      <c r="C688" s="88"/>
      <c r="D688" s="89"/>
      <c r="E688" s="71"/>
      <c r="F688" s="11"/>
      <c r="G688" s="90"/>
      <c r="H688" s="89"/>
      <c r="I688" s="91"/>
    </row>
    <row r="689" customFormat="false" ht="12.75" hidden="false" customHeight="true" outlineLevel="0" collapsed="false">
      <c r="C689" s="88"/>
      <c r="D689" s="89"/>
      <c r="E689" s="71"/>
      <c r="F689" s="11"/>
      <c r="G689" s="90"/>
      <c r="H689" s="89"/>
      <c r="I689" s="91"/>
    </row>
    <row r="690" customFormat="false" ht="12.75" hidden="false" customHeight="true" outlineLevel="0" collapsed="false">
      <c r="C690" s="88"/>
      <c r="D690" s="89"/>
      <c r="E690" s="71"/>
      <c r="F690" s="11"/>
      <c r="G690" s="90"/>
      <c r="H690" s="89"/>
      <c r="I690" s="91"/>
    </row>
    <row r="691" customFormat="false" ht="12.75" hidden="false" customHeight="true" outlineLevel="0" collapsed="false">
      <c r="C691" s="88"/>
      <c r="D691" s="89"/>
      <c r="E691" s="71"/>
      <c r="F691" s="11"/>
      <c r="G691" s="90"/>
      <c r="H691" s="89"/>
      <c r="I691" s="91"/>
    </row>
    <row r="692" customFormat="false" ht="12.75" hidden="false" customHeight="true" outlineLevel="0" collapsed="false">
      <c r="C692" s="88"/>
      <c r="D692" s="89"/>
      <c r="E692" s="71"/>
      <c r="F692" s="11"/>
      <c r="G692" s="90"/>
      <c r="H692" s="89"/>
      <c r="I692" s="91"/>
    </row>
    <row r="693" customFormat="false" ht="12.75" hidden="false" customHeight="true" outlineLevel="0" collapsed="false">
      <c r="C693" s="88"/>
      <c r="D693" s="89"/>
      <c r="E693" s="71"/>
      <c r="F693" s="11"/>
      <c r="G693" s="90"/>
      <c r="H693" s="89"/>
      <c r="I693" s="91"/>
    </row>
    <row r="694" customFormat="false" ht="12.75" hidden="false" customHeight="true" outlineLevel="0" collapsed="false">
      <c r="C694" s="88"/>
      <c r="D694" s="89"/>
      <c r="E694" s="71"/>
      <c r="F694" s="11"/>
      <c r="G694" s="90"/>
      <c r="H694" s="89"/>
      <c r="I694" s="91"/>
    </row>
    <row r="695" customFormat="false" ht="12.75" hidden="false" customHeight="true" outlineLevel="0" collapsed="false">
      <c r="C695" s="88"/>
      <c r="D695" s="89"/>
      <c r="E695" s="71"/>
      <c r="F695" s="11"/>
      <c r="G695" s="90"/>
      <c r="H695" s="89"/>
      <c r="I695" s="91"/>
    </row>
    <row r="696" customFormat="false" ht="12.75" hidden="false" customHeight="true" outlineLevel="0" collapsed="false">
      <c r="C696" s="88"/>
      <c r="D696" s="89"/>
      <c r="E696" s="71"/>
      <c r="F696" s="11"/>
      <c r="G696" s="90"/>
      <c r="H696" s="89"/>
      <c r="I696" s="91"/>
    </row>
    <row r="697" customFormat="false" ht="12.75" hidden="false" customHeight="true" outlineLevel="0" collapsed="false">
      <c r="C697" s="88"/>
      <c r="D697" s="89"/>
      <c r="E697" s="71"/>
      <c r="F697" s="11"/>
      <c r="G697" s="90"/>
      <c r="H697" s="89"/>
      <c r="I697" s="91"/>
    </row>
    <row r="698" customFormat="false" ht="12.75" hidden="false" customHeight="true" outlineLevel="0" collapsed="false">
      <c r="C698" s="88"/>
      <c r="D698" s="89"/>
      <c r="E698" s="71"/>
      <c r="F698" s="11"/>
      <c r="G698" s="90"/>
      <c r="H698" s="89"/>
      <c r="I698" s="91"/>
    </row>
    <row r="699" customFormat="false" ht="12.75" hidden="false" customHeight="true" outlineLevel="0" collapsed="false">
      <c r="C699" s="88"/>
      <c r="D699" s="89"/>
      <c r="E699" s="71"/>
      <c r="F699" s="11"/>
      <c r="G699" s="90"/>
      <c r="H699" s="89"/>
      <c r="I699" s="91"/>
    </row>
    <row r="700" customFormat="false" ht="12.75" hidden="false" customHeight="true" outlineLevel="0" collapsed="false">
      <c r="C700" s="88"/>
      <c r="D700" s="89"/>
      <c r="E700" s="71"/>
      <c r="F700" s="11"/>
      <c r="G700" s="90"/>
      <c r="H700" s="89"/>
      <c r="I700" s="91"/>
    </row>
    <row r="701" customFormat="false" ht="12.75" hidden="false" customHeight="true" outlineLevel="0" collapsed="false">
      <c r="C701" s="88"/>
      <c r="D701" s="89"/>
      <c r="E701" s="71"/>
      <c r="F701" s="11"/>
      <c r="G701" s="90"/>
      <c r="H701" s="89"/>
      <c r="I701" s="91"/>
    </row>
    <row r="702" customFormat="false" ht="12.75" hidden="false" customHeight="true" outlineLevel="0" collapsed="false">
      <c r="C702" s="88"/>
      <c r="D702" s="89"/>
      <c r="E702" s="71"/>
      <c r="F702" s="11"/>
      <c r="G702" s="90"/>
      <c r="H702" s="89"/>
      <c r="I702" s="91"/>
    </row>
    <row r="703" customFormat="false" ht="12.75" hidden="false" customHeight="true" outlineLevel="0" collapsed="false">
      <c r="C703" s="88"/>
      <c r="D703" s="89"/>
      <c r="E703" s="71"/>
      <c r="F703" s="11"/>
      <c r="G703" s="90"/>
      <c r="H703" s="89"/>
      <c r="I703" s="91"/>
    </row>
    <row r="704" customFormat="false" ht="12.75" hidden="false" customHeight="true" outlineLevel="0" collapsed="false">
      <c r="C704" s="88"/>
      <c r="D704" s="89"/>
      <c r="E704" s="71"/>
      <c r="F704" s="11"/>
      <c r="G704" s="90"/>
      <c r="H704" s="89"/>
      <c r="I704" s="91"/>
    </row>
    <row r="705" customFormat="false" ht="12.75" hidden="false" customHeight="true" outlineLevel="0" collapsed="false">
      <c r="C705" s="88"/>
      <c r="D705" s="89"/>
      <c r="E705" s="71"/>
      <c r="F705" s="11"/>
      <c r="G705" s="90"/>
      <c r="H705" s="89"/>
      <c r="I705" s="91"/>
    </row>
    <row r="706" customFormat="false" ht="12.75" hidden="false" customHeight="true" outlineLevel="0" collapsed="false">
      <c r="C706" s="88"/>
      <c r="D706" s="89"/>
      <c r="E706" s="71"/>
      <c r="F706" s="11"/>
      <c r="G706" s="90"/>
      <c r="H706" s="89"/>
      <c r="I706" s="91"/>
    </row>
    <row r="707" customFormat="false" ht="12.75" hidden="false" customHeight="true" outlineLevel="0" collapsed="false">
      <c r="C707" s="88"/>
      <c r="D707" s="89"/>
      <c r="E707" s="71"/>
      <c r="F707" s="11"/>
      <c r="G707" s="90"/>
      <c r="H707" s="89"/>
      <c r="I707" s="91"/>
    </row>
    <row r="708" customFormat="false" ht="12.75" hidden="false" customHeight="true" outlineLevel="0" collapsed="false">
      <c r="C708" s="88"/>
      <c r="D708" s="89"/>
      <c r="E708" s="71"/>
      <c r="F708" s="11"/>
      <c r="G708" s="90"/>
      <c r="H708" s="89"/>
      <c r="I708" s="91"/>
    </row>
    <row r="709" customFormat="false" ht="12.75" hidden="false" customHeight="true" outlineLevel="0" collapsed="false">
      <c r="C709" s="88"/>
      <c r="D709" s="89"/>
      <c r="E709" s="71"/>
      <c r="F709" s="11"/>
      <c r="G709" s="90"/>
      <c r="H709" s="89"/>
      <c r="I709" s="91"/>
    </row>
    <row r="710" customFormat="false" ht="12.75" hidden="false" customHeight="true" outlineLevel="0" collapsed="false">
      <c r="C710" s="88"/>
      <c r="D710" s="89"/>
      <c r="E710" s="71"/>
      <c r="F710" s="11"/>
      <c r="G710" s="90"/>
      <c r="H710" s="89"/>
      <c r="I710" s="91"/>
    </row>
    <row r="711" customFormat="false" ht="12.75" hidden="false" customHeight="true" outlineLevel="0" collapsed="false">
      <c r="C711" s="88"/>
      <c r="D711" s="89"/>
      <c r="E711" s="71"/>
      <c r="F711" s="11"/>
      <c r="G711" s="90"/>
      <c r="H711" s="89"/>
      <c r="I711" s="91"/>
    </row>
    <row r="712" customFormat="false" ht="12.75" hidden="false" customHeight="true" outlineLevel="0" collapsed="false">
      <c r="C712" s="88"/>
      <c r="D712" s="89"/>
      <c r="E712" s="71"/>
      <c r="F712" s="11"/>
      <c r="G712" s="90"/>
      <c r="H712" s="89"/>
      <c r="I712" s="91"/>
    </row>
    <row r="713" customFormat="false" ht="12.75" hidden="false" customHeight="true" outlineLevel="0" collapsed="false">
      <c r="C713" s="88"/>
      <c r="D713" s="89"/>
      <c r="E713" s="71"/>
      <c r="F713" s="11"/>
      <c r="G713" s="90"/>
      <c r="H713" s="89"/>
      <c r="I713" s="91"/>
    </row>
    <row r="714" customFormat="false" ht="12.75" hidden="false" customHeight="true" outlineLevel="0" collapsed="false">
      <c r="C714" s="88"/>
      <c r="D714" s="89"/>
      <c r="E714" s="71"/>
      <c r="F714" s="11"/>
      <c r="G714" s="90"/>
      <c r="H714" s="89"/>
      <c r="I714" s="91"/>
    </row>
    <row r="715" customFormat="false" ht="12.75" hidden="false" customHeight="true" outlineLevel="0" collapsed="false">
      <c r="C715" s="88"/>
      <c r="D715" s="89"/>
      <c r="E715" s="71"/>
      <c r="F715" s="11"/>
      <c r="G715" s="90"/>
      <c r="H715" s="89"/>
      <c r="I715" s="91"/>
    </row>
    <row r="716" customFormat="false" ht="12.75" hidden="false" customHeight="true" outlineLevel="0" collapsed="false">
      <c r="C716" s="88"/>
      <c r="D716" s="89"/>
      <c r="E716" s="71"/>
      <c r="F716" s="11"/>
      <c r="G716" s="90"/>
      <c r="H716" s="89"/>
      <c r="I716" s="91"/>
    </row>
    <row r="717" customFormat="false" ht="12.75" hidden="false" customHeight="true" outlineLevel="0" collapsed="false">
      <c r="C717" s="88"/>
      <c r="D717" s="89"/>
      <c r="E717" s="71"/>
      <c r="F717" s="11"/>
      <c r="G717" s="90"/>
      <c r="H717" s="89"/>
      <c r="I717" s="91"/>
    </row>
    <row r="718" customFormat="false" ht="12.75" hidden="false" customHeight="true" outlineLevel="0" collapsed="false">
      <c r="C718" s="88"/>
      <c r="D718" s="89"/>
      <c r="E718" s="71"/>
      <c r="F718" s="11"/>
      <c r="G718" s="90"/>
      <c r="H718" s="89"/>
      <c r="I718" s="91"/>
    </row>
    <row r="719" customFormat="false" ht="12.75" hidden="false" customHeight="true" outlineLevel="0" collapsed="false">
      <c r="C719" s="88"/>
      <c r="D719" s="89"/>
      <c r="E719" s="71"/>
      <c r="F719" s="11"/>
      <c r="G719" s="90"/>
      <c r="H719" s="89"/>
      <c r="I719" s="91"/>
    </row>
    <row r="720" customFormat="false" ht="12.75" hidden="false" customHeight="true" outlineLevel="0" collapsed="false">
      <c r="C720" s="88"/>
      <c r="D720" s="89"/>
      <c r="E720" s="71"/>
      <c r="F720" s="11"/>
      <c r="G720" s="90"/>
      <c r="H720" s="89"/>
      <c r="I720" s="91"/>
    </row>
    <row r="721" customFormat="false" ht="12.75" hidden="false" customHeight="true" outlineLevel="0" collapsed="false">
      <c r="C721" s="88"/>
      <c r="D721" s="89"/>
      <c r="E721" s="71"/>
      <c r="F721" s="11"/>
      <c r="G721" s="90"/>
      <c r="H721" s="89"/>
      <c r="I721" s="91"/>
    </row>
    <row r="722" customFormat="false" ht="12.75" hidden="false" customHeight="true" outlineLevel="0" collapsed="false">
      <c r="C722" s="88"/>
      <c r="D722" s="89"/>
      <c r="E722" s="71"/>
      <c r="F722" s="11"/>
      <c r="G722" s="90"/>
      <c r="H722" s="89"/>
      <c r="I722" s="91"/>
    </row>
    <row r="723" customFormat="false" ht="12.75" hidden="false" customHeight="true" outlineLevel="0" collapsed="false">
      <c r="C723" s="88"/>
      <c r="D723" s="89"/>
      <c r="E723" s="71"/>
      <c r="F723" s="11"/>
      <c r="G723" s="90"/>
      <c r="H723" s="89"/>
      <c r="I723" s="91"/>
    </row>
    <row r="724" customFormat="false" ht="12.75" hidden="false" customHeight="true" outlineLevel="0" collapsed="false">
      <c r="C724" s="88"/>
      <c r="D724" s="89"/>
      <c r="E724" s="71"/>
      <c r="F724" s="11"/>
      <c r="G724" s="90"/>
      <c r="H724" s="89"/>
      <c r="I724" s="91"/>
    </row>
    <row r="725" customFormat="false" ht="12.75" hidden="false" customHeight="true" outlineLevel="0" collapsed="false">
      <c r="C725" s="88"/>
      <c r="D725" s="89"/>
      <c r="E725" s="71"/>
      <c r="F725" s="11"/>
      <c r="G725" s="90"/>
      <c r="H725" s="89"/>
      <c r="I725" s="91"/>
    </row>
    <row r="726" customFormat="false" ht="12.75" hidden="false" customHeight="true" outlineLevel="0" collapsed="false">
      <c r="C726" s="88"/>
      <c r="D726" s="89"/>
      <c r="E726" s="71"/>
      <c r="F726" s="11"/>
      <c r="G726" s="90"/>
      <c r="H726" s="89"/>
      <c r="I726" s="91"/>
    </row>
    <row r="727" customFormat="false" ht="12.75" hidden="false" customHeight="true" outlineLevel="0" collapsed="false">
      <c r="C727" s="88"/>
      <c r="D727" s="89"/>
      <c r="E727" s="71"/>
      <c r="F727" s="11"/>
      <c r="G727" s="90"/>
      <c r="H727" s="89"/>
      <c r="I727" s="91"/>
    </row>
    <row r="728" customFormat="false" ht="12.75" hidden="false" customHeight="true" outlineLevel="0" collapsed="false">
      <c r="C728" s="88"/>
      <c r="D728" s="89"/>
      <c r="E728" s="71"/>
      <c r="F728" s="11"/>
      <c r="G728" s="90"/>
      <c r="H728" s="89"/>
      <c r="I728" s="91"/>
    </row>
    <row r="729" customFormat="false" ht="12.75" hidden="false" customHeight="true" outlineLevel="0" collapsed="false">
      <c r="C729" s="88"/>
      <c r="D729" s="89"/>
      <c r="E729" s="71"/>
      <c r="F729" s="11"/>
      <c r="G729" s="90"/>
      <c r="H729" s="89"/>
      <c r="I729" s="91"/>
    </row>
    <row r="730" customFormat="false" ht="12.75" hidden="false" customHeight="true" outlineLevel="0" collapsed="false">
      <c r="C730" s="88"/>
      <c r="D730" s="89"/>
      <c r="E730" s="71"/>
      <c r="F730" s="11"/>
      <c r="G730" s="90"/>
      <c r="H730" s="89"/>
      <c r="I730" s="91"/>
    </row>
    <row r="731" customFormat="false" ht="12.75" hidden="false" customHeight="true" outlineLevel="0" collapsed="false">
      <c r="C731" s="88"/>
      <c r="D731" s="89"/>
      <c r="E731" s="71"/>
      <c r="F731" s="11"/>
      <c r="G731" s="90"/>
      <c r="H731" s="89"/>
      <c r="I731" s="91"/>
    </row>
    <row r="732" customFormat="false" ht="12.75" hidden="false" customHeight="true" outlineLevel="0" collapsed="false">
      <c r="C732" s="88"/>
      <c r="D732" s="89"/>
      <c r="E732" s="71"/>
      <c r="F732" s="11"/>
      <c r="G732" s="90"/>
      <c r="H732" s="89"/>
      <c r="I732" s="91"/>
    </row>
    <row r="733" customFormat="false" ht="12.75" hidden="false" customHeight="true" outlineLevel="0" collapsed="false">
      <c r="C733" s="88"/>
      <c r="D733" s="89"/>
      <c r="E733" s="71"/>
      <c r="F733" s="11"/>
      <c r="G733" s="90"/>
      <c r="H733" s="89"/>
      <c r="I733" s="91"/>
    </row>
    <row r="734" customFormat="false" ht="12.75" hidden="false" customHeight="true" outlineLevel="0" collapsed="false">
      <c r="C734" s="88"/>
      <c r="D734" s="89"/>
      <c r="E734" s="71"/>
      <c r="F734" s="11"/>
      <c r="G734" s="90"/>
      <c r="H734" s="89"/>
      <c r="I734" s="91"/>
    </row>
    <row r="735" customFormat="false" ht="12.75" hidden="false" customHeight="true" outlineLevel="0" collapsed="false">
      <c r="C735" s="88"/>
      <c r="D735" s="89"/>
      <c r="E735" s="71"/>
      <c r="F735" s="11"/>
      <c r="G735" s="90"/>
      <c r="H735" s="89"/>
      <c r="I735" s="91"/>
    </row>
    <row r="736" customFormat="false" ht="12.75" hidden="false" customHeight="true" outlineLevel="0" collapsed="false">
      <c r="C736" s="88"/>
      <c r="D736" s="89"/>
      <c r="E736" s="71"/>
      <c r="F736" s="11"/>
      <c r="G736" s="90"/>
      <c r="H736" s="89"/>
      <c r="I736" s="91"/>
    </row>
    <row r="737" customFormat="false" ht="12.75" hidden="false" customHeight="true" outlineLevel="0" collapsed="false">
      <c r="C737" s="88"/>
      <c r="D737" s="89"/>
      <c r="E737" s="71"/>
      <c r="F737" s="11"/>
      <c r="G737" s="90"/>
      <c r="H737" s="89"/>
      <c r="I737" s="91"/>
    </row>
    <row r="738" customFormat="false" ht="12.75" hidden="false" customHeight="true" outlineLevel="0" collapsed="false">
      <c r="C738" s="88"/>
      <c r="D738" s="89"/>
      <c r="E738" s="71"/>
      <c r="F738" s="11"/>
      <c r="G738" s="90"/>
      <c r="H738" s="89"/>
      <c r="I738" s="91"/>
    </row>
    <row r="739" customFormat="false" ht="12.75" hidden="false" customHeight="true" outlineLevel="0" collapsed="false">
      <c r="C739" s="88"/>
      <c r="D739" s="89"/>
      <c r="E739" s="71"/>
      <c r="F739" s="11"/>
      <c r="G739" s="90"/>
      <c r="H739" s="89"/>
      <c r="I739" s="91"/>
    </row>
    <row r="740" customFormat="false" ht="12.75" hidden="false" customHeight="true" outlineLevel="0" collapsed="false">
      <c r="C740" s="88"/>
      <c r="D740" s="89"/>
      <c r="E740" s="71"/>
      <c r="F740" s="11"/>
      <c r="G740" s="90"/>
      <c r="H740" s="89"/>
      <c r="I740" s="91"/>
    </row>
    <row r="741" customFormat="false" ht="12.75" hidden="false" customHeight="true" outlineLevel="0" collapsed="false">
      <c r="C741" s="88"/>
      <c r="D741" s="89"/>
      <c r="E741" s="71"/>
      <c r="F741" s="11"/>
      <c r="G741" s="90"/>
      <c r="H741" s="89"/>
      <c r="I741" s="91"/>
    </row>
    <row r="742" customFormat="false" ht="12.75" hidden="false" customHeight="true" outlineLevel="0" collapsed="false">
      <c r="C742" s="88"/>
      <c r="D742" s="89"/>
      <c r="E742" s="71"/>
      <c r="F742" s="11"/>
      <c r="G742" s="90"/>
      <c r="H742" s="89"/>
      <c r="I742" s="91"/>
    </row>
    <row r="743" customFormat="false" ht="12.75" hidden="false" customHeight="true" outlineLevel="0" collapsed="false">
      <c r="C743" s="88"/>
      <c r="D743" s="89"/>
      <c r="E743" s="71"/>
      <c r="F743" s="11"/>
      <c r="G743" s="90"/>
      <c r="H743" s="89"/>
      <c r="I743" s="91"/>
    </row>
    <row r="744" customFormat="false" ht="12.75" hidden="false" customHeight="true" outlineLevel="0" collapsed="false">
      <c r="C744" s="88"/>
      <c r="D744" s="89"/>
      <c r="E744" s="71"/>
      <c r="F744" s="11"/>
      <c r="G744" s="90"/>
      <c r="H744" s="89"/>
      <c r="I744" s="91"/>
    </row>
    <row r="745" customFormat="false" ht="12.75" hidden="false" customHeight="true" outlineLevel="0" collapsed="false">
      <c r="C745" s="88"/>
      <c r="D745" s="89"/>
      <c r="E745" s="71"/>
      <c r="F745" s="11"/>
      <c r="G745" s="90"/>
      <c r="H745" s="89"/>
      <c r="I745" s="91"/>
    </row>
    <row r="746" customFormat="false" ht="12.75" hidden="false" customHeight="true" outlineLevel="0" collapsed="false">
      <c r="C746" s="88"/>
      <c r="D746" s="89"/>
      <c r="E746" s="71"/>
      <c r="F746" s="11"/>
      <c r="G746" s="90"/>
      <c r="H746" s="89"/>
      <c r="I746" s="91"/>
    </row>
    <row r="747" customFormat="false" ht="12.75" hidden="false" customHeight="true" outlineLevel="0" collapsed="false">
      <c r="C747" s="88"/>
      <c r="D747" s="89"/>
      <c r="E747" s="71"/>
      <c r="F747" s="11"/>
      <c r="G747" s="90"/>
      <c r="H747" s="89"/>
      <c r="I747" s="91"/>
    </row>
    <row r="748" customFormat="false" ht="12.75" hidden="false" customHeight="true" outlineLevel="0" collapsed="false">
      <c r="C748" s="88"/>
      <c r="D748" s="89"/>
      <c r="E748" s="71"/>
      <c r="F748" s="11"/>
      <c r="G748" s="90"/>
      <c r="H748" s="89"/>
      <c r="I748" s="91"/>
    </row>
    <row r="749" customFormat="false" ht="12.75" hidden="false" customHeight="true" outlineLevel="0" collapsed="false">
      <c r="C749" s="88"/>
      <c r="D749" s="89"/>
      <c r="E749" s="71"/>
      <c r="F749" s="11"/>
      <c r="G749" s="90"/>
      <c r="H749" s="89"/>
      <c r="I749" s="91"/>
    </row>
    <row r="750" customFormat="false" ht="12.75" hidden="false" customHeight="true" outlineLevel="0" collapsed="false">
      <c r="C750" s="88"/>
      <c r="D750" s="89"/>
      <c r="E750" s="71"/>
      <c r="F750" s="11"/>
      <c r="G750" s="90"/>
      <c r="H750" s="89"/>
      <c r="I750" s="91"/>
    </row>
    <row r="751" customFormat="false" ht="12.75" hidden="false" customHeight="true" outlineLevel="0" collapsed="false">
      <c r="C751" s="88"/>
      <c r="D751" s="89"/>
      <c r="E751" s="71"/>
      <c r="F751" s="11"/>
      <c r="G751" s="90"/>
      <c r="H751" s="89"/>
      <c r="I751" s="91"/>
    </row>
    <row r="752" customFormat="false" ht="12.75" hidden="false" customHeight="true" outlineLevel="0" collapsed="false">
      <c r="C752" s="88"/>
      <c r="D752" s="89"/>
      <c r="E752" s="71"/>
      <c r="F752" s="11"/>
      <c r="G752" s="90"/>
      <c r="H752" s="89"/>
      <c r="I752" s="91"/>
    </row>
    <row r="753" customFormat="false" ht="12.75" hidden="false" customHeight="true" outlineLevel="0" collapsed="false">
      <c r="C753" s="88"/>
      <c r="D753" s="89"/>
      <c r="E753" s="71"/>
      <c r="F753" s="11"/>
      <c r="G753" s="90"/>
      <c r="H753" s="89"/>
      <c r="I753" s="91"/>
    </row>
    <row r="754" customFormat="false" ht="12.75" hidden="false" customHeight="true" outlineLevel="0" collapsed="false">
      <c r="C754" s="88"/>
      <c r="D754" s="89"/>
      <c r="E754" s="71"/>
      <c r="F754" s="11"/>
      <c r="G754" s="90"/>
      <c r="H754" s="89"/>
      <c r="I754" s="91"/>
    </row>
    <row r="755" customFormat="false" ht="12.75" hidden="false" customHeight="true" outlineLevel="0" collapsed="false">
      <c r="C755" s="88"/>
      <c r="D755" s="89"/>
      <c r="E755" s="71"/>
      <c r="F755" s="11"/>
      <c r="G755" s="90"/>
      <c r="H755" s="89"/>
      <c r="I755" s="91"/>
    </row>
    <row r="756" customFormat="false" ht="12.75" hidden="false" customHeight="true" outlineLevel="0" collapsed="false">
      <c r="C756" s="88"/>
      <c r="D756" s="89"/>
      <c r="E756" s="71"/>
      <c r="F756" s="11"/>
      <c r="G756" s="90"/>
      <c r="H756" s="89"/>
      <c r="I756" s="91"/>
    </row>
    <row r="757" customFormat="false" ht="12.75" hidden="false" customHeight="true" outlineLevel="0" collapsed="false">
      <c r="C757" s="88"/>
      <c r="D757" s="89"/>
      <c r="E757" s="71"/>
      <c r="F757" s="11"/>
      <c r="G757" s="90"/>
      <c r="H757" s="89"/>
      <c r="I757" s="91"/>
    </row>
    <row r="758" customFormat="false" ht="12.75" hidden="false" customHeight="true" outlineLevel="0" collapsed="false">
      <c r="C758" s="88"/>
      <c r="D758" s="89"/>
      <c r="E758" s="71"/>
      <c r="F758" s="11"/>
      <c r="G758" s="90"/>
      <c r="H758" s="89"/>
      <c r="I758" s="91"/>
    </row>
    <row r="759" customFormat="false" ht="12.75" hidden="false" customHeight="true" outlineLevel="0" collapsed="false">
      <c r="C759" s="88"/>
      <c r="D759" s="89"/>
      <c r="E759" s="71"/>
      <c r="F759" s="11"/>
      <c r="G759" s="90"/>
      <c r="H759" s="89"/>
      <c r="I759" s="91"/>
    </row>
    <row r="760" customFormat="false" ht="12.75" hidden="false" customHeight="true" outlineLevel="0" collapsed="false">
      <c r="C760" s="88"/>
      <c r="D760" s="89"/>
      <c r="E760" s="71"/>
      <c r="F760" s="11"/>
      <c r="G760" s="90"/>
      <c r="H760" s="89"/>
      <c r="I760" s="91"/>
    </row>
    <row r="761" customFormat="false" ht="12.75" hidden="false" customHeight="true" outlineLevel="0" collapsed="false">
      <c r="C761" s="88"/>
      <c r="D761" s="89"/>
      <c r="E761" s="71"/>
      <c r="F761" s="11"/>
      <c r="G761" s="90"/>
      <c r="H761" s="89"/>
      <c r="I761" s="91"/>
    </row>
    <row r="762" customFormat="false" ht="12.75" hidden="false" customHeight="true" outlineLevel="0" collapsed="false">
      <c r="C762" s="88"/>
      <c r="D762" s="89"/>
      <c r="E762" s="71"/>
      <c r="F762" s="11"/>
      <c r="G762" s="90"/>
      <c r="H762" s="89"/>
      <c r="I762" s="91"/>
    </row>
    <row r="763" customFormat="false" ht="12.75" hidden="false" customHeight="true" outlineLevel="0" collapsed="false">
      <c r="C763" s="88"/>
      <c r="D763" s="89"/>
      <c r="E763" s="71"/>
      <c r="F763" s="11"/>
      <c r="G763" s="90"/>
      <c r="H763" s="89"/>
      <c r="I763" s="91"/>
    </row>
    <row r="764" customFormat="false" ht="12.75" hidden="false" customHeight="true" outlineLevel="0" collapsed="false">
      <c r="C764" s="88"/>
      <c r="D764" s="89"/>
      <c r="E764" s="71"/>
      <c r="F764" s="11"/>
      <c r="G764" s="90"/>
      <c r="H764" s="89"/>
      <c r="I764" s="91"/>
    </row>
    <row r="765" customFormat="false" ht="12.75" hidden="false" customHeight="true" outlineLevel="0" collapsed="false">
      <c r="C765" s="88"/>
      <c r="D765" s="89"/>
      <c r="E765" s="71"/>
      <c r="F765" s="11"/>
      <c r="G765" s="90"/>
      <c r="H765" s="89"/>
      <c r="I765" s="91"/>
    </row>
    <row r="766" customFormat="false" ht="12.75" hidden="false" customHeight="true" outlineLevel="0" collapsed="false">
      <c r="C766" s="88"/>
      <c r="D766" s="89"/>
      <c r="E766" s="71"/>
      <c r="F766" s="11"/>
      <c r="G766" s="90"/>
      <c r="H766" s="89"/>
      <c r="I766" s="91"/>
    </row>
    <row r="767" customFormat="false" ht="12.75" hidden="false" customHeight="true" outlineLevel="0" collapsed="false">
      <c r="C767" s="88"/>
      <c r="D767" s="89"/>
      <c r="E767" s="71"/>
      <c r="F767" s="11"/>
      <c r="G767" s="90"/>
      <c r="H767" s="89"/>
      <c r="I767" s="91"/>
    </row>
    <row r="768" customFormat="false" ht="12.75" hidden="false" customHeight="true" outlineLevel="0" collapsed="false">
      <c r="C768" s="88"/>
      <c r="D768" s="89"/>
      <c r="E768" s="71"/>
      <c r="F768" s="11"/>
      <c r="G768" s="90"/>
      <c r="H768" s="89"/>
      <c r="I768" s="91"/>
    </row>
    <row r="769" customFormat="false" ht="12.75" hidden="false" customHeight="true" outlineLevel="0" collapsed="false">
      <c r="C769" s="88"/>
      <c r="D769" s="89"/>
      <c r="E769" s="71"/>
      <c r="F769" s="11"/>
      <c r="G769" s="90"/>
      <c r="H769" s="89"/>
      <c r="I769" s="91"/>
    </row>
    <row r="770" customFormat="false" ht="12.75" hidden="false" customHeight="true" outlineLevel="0" collapsed="false">
      <c r="C770" s="88"/>
      <c r="D770" s="89"/>
      <c r="E770" s="71"/>
      <c r="F770" s="11"/>
      <c r="G770" s="90"/>
      <c r="H770" s="89"/>
      <c r="I770" s="91"/>
    </row>
    <row r="771" customFormat="false" ht="12.75" hidden="false" customHeight="true" outlineLevel="0" collapsed="false">
      <c r="C771" s="88"/>
      <c r="D771" s="89"/>
      <c r="E771" s="71"/>
      <c r="F771" s="11"/>
      <c r="G771" s="90"/>
      <c r="H771" s="89"/>
      <c r="I771" s="91"/>
    </row>
    <row r="772" customFormat="false" ht="12.75" hidden="false" customHeight="true" outlineLevel="0" collapsed="false">
      <c r="C772" s="88"/>
      <c r="D772" s="89"/>
      <c r="E772" s="71"/>
      <c r="F772" s="11"/>
      <c r="G772" s="90"/>
      <c r="H772" s="89"/>
      <c r="I772" s="91"/>
    </row>
    <row r="773" customFormat="false" ht="12.75" hidden="false" customHeight="true" outlineLevel="0" collapsed="false">
      <c r="C773" s="88"/>
      <c r="D773" s="89"/>
      <c r="E773" s="71"/>
      <c r="F773" s="11"/>
      <c r="G773" s="90"/>
      <c r="H773" s="89"/>
      <c r="I773" s="91"/>
    </row>
    <row r="774" customFormat="false" ht="12.75" hidden="false" customHeight="true" outlineLevel="0" collapsed="false">
      <c r="C774" s="88"/>
      <c r="D774" s="89"/>
      <c r="E774" s="71"/>
      <c r="F774" s="11"/>
      <c r="G774" s="90"/>
      <c r="H774" s="89"/>
      <c r="I774" s="91"/>
    </row>
    <row r="775" customFormat="false" ht="12.75" hidden="false" customHeight="true" outlineLevel="0" collapsed="false">
      <c r="C775" s="88"/>
      <c r="D775" s="89"/>
      <c r="E775" s="71"/>
      <c r="F775" s="11"/>
      <c r="G775" s="90"/>
      <c r="H775" s="89"/>
      <c r="I775" s="91"/>
    </row>
    <row r="776" customFormat="false" ht="12.75" hidden="false" customHeight="true" outlineLevel="0" collapsed="false">
      <c r="C776" s="88"/>
      <c r="D776" s="89"/>
      <c r="E776" s="71"/>
      <c r="F776" s="11"/>
      <c r="G776" s="90"/>
      <c r="H776" s="89"/>
      <c r="I776" s="91"/>
    </row>
    <row r="777" customFormat="false" ht="12.75" hidden="false" customHeight="true" outlineLevel="0" collapsed="false">
      <c r="C777" s="88"/>
      <c r="D777" s="89"/>
      <c r="E777" s="71"/>
      <c r="F777" s="11"/>
      <c r="G777" s="90"/>
      <c r="H777" s="89"/>
      <c r="I777" s="91"/>
    </row>
    <row r="778" customFormat="false" ht="12.75" hidden="false" customHeight="true" outlineLevel="0" collapsed="false">
      <c r="C778" s="88"/>
      <c r="D778" s="89"/>
      <c r="E778" s="71"/>
      <c r="F778" s="11"/>
      <c r="G778" s="90"/>
      <c r="H778" s="89"/>
      <c r="I778" s="91"/>
    </row>
    <row r="779" customFormat="false" ht="12.75" hidden="false" customHeight="true" outlineLevel="0" collapsed="false">
      <c r="C779" s="88"/>
      <c r="D779" s="89"/>
      <c r="E779" s="71"/>
      <c r="F779" s="11"/>
      <c r="G779" s="90"/>
      <c r="H779" s="89"/>
      <c r="I779" s="91"/>
    </row>
    <row r="780" customFormat="false" ht="12.75" hidden="false" customHeight="true" outlineLevel="0" collapsed="false">
      <c r="C780" s="88"/>
      <c r="D780" s="89"/>
      <c r="E780" s="71"/>
      <c r="F780" s="11"/>
      <c r="G780" s="90"/>
      <c r="H780" s="89"/>
      <c r="I780" s="91"/>
    </row>
    <row r="781" customFormat="false" ht="12.75" hidden="false" customHeight="true" outlineLevel="0" collapsed="false">
      <c r="C781" s="88"/>
      <c r="D781" s="89"/>
      <c r="E781" s="71"/>
      <c r="F781" s="11"/>
      <c r="G781" s="90"/>
      <c r="H781" s="89"/>
      <c r="I781" s="91"/>
    </row>
    <row r="782" customFormat="false" ht="12.75" hidden="false" customHeight="true" outlineLevel="0" collapsed="false">
      <c r="C782" s="88"/>
      <c r="D782" s="89"/>
      <c r="E782" s="71"/>
      <c r="F782" s="11"/>
      <c r="G782" s="90"/>
      <c r="H782" s="89"/>
      <c r="I782" s="91"/>
    </row>
    <row r="783" customFormat="false" ht="12.75" hidden="false" customHeight="true" outlineLevel="0" collapsed="false">
      <c r="C783" s="88"/>
      <c r="D783" s="89"/>
      <c r="E783" s="71"/>
      <c r="F783" s="11"/>
      <c r="G783" s="90"/>
      <c r="H783" s="89"/>
      <c r="I783" s="91"/>
    </row>
    <row r="784" customFormat="false" ht="12.75" hidden="false" customHeight="true" outlineLevel="0" collapsed="false">
      <c r="C784" s="88"/>
      <c r="D784" s="89"/>
      <c r="E784" s="71"/>
      <c r="F784" s="11"/>
      <c r="G784" s="90"/>
      <c r="H784" s="89"/>
      <c r="I784" s="91"/>
    </row>
    <row r="785" customFormat="false" ht="12.75" hidden="false" customHeight="true" outlineLevel="0" collapsed="false">
      <c r="C785" s="88"/>
      <c r="D785" s="89"/>
      <c r="E785" s="71"/>
      <c r="F785" s="11"/>
      <c r="G785" s="90"/>
      <c r="H785" s="89"/>
      <c r="I785" s="91"/>
    </row>
    <row r="786" customFormat="false" ht="12.75" hidden="false" customHeight="true" outlineLevel="0" collapsed="false">
      <c r="C786" s="88"/>
      <c r="D786" s="89"/>
      <c r="E786" s="71"/>
      <c r="F786" s="11"/>
      <c r="G786" s="90"/>
      <c r="H786" s="89"/>
      <c r="I786" s="91"/>
    </row>
    <row r="787" customFormat="false" ht="12.75" hidden="false" customHeight="true" outlineLevel="0" collapsed="false">
      <c r="C787" s="88"/>
      <c r="D787" s="89"/>
      <c r="E787" s="71"/>
      <c r="F787" s="11"/>
      <c r="G787" s="90"/>
      <c r="H787" s="89"/>
      <c r="I787" s="91"/>
    </row>
    <row r="788" customFormat="false" ht="12.75" hidden="false" customHeight="true" outlineLevel="0" collapsed="false">
      <c r="C788" s="88"/>
      <c r="D788" s="89"/>
      <c r="E788" s="71"/>
      <c r="F788" s="11"/>
      <c r="G788" s="90"/>
      <c r="H788" s="89"/>
      <c r="I788" s="91"/>
    </row>
    <row r="789" customFormat="false" ht="12.75" hidden="false" customHeight="true" outlineLevel="0" collapsed="false">
      <c r="C789" s="88"/>
      <c r="D789" s="89"/>
      <c r="E789" s="71"/>
      <c r="F789" s="11"/>
      <c r="G789" s="90"/>
      <c r="H789" s="89"/>
      <c r="I789" s="91"/>
    </row>
    <row r="790" customFormat="false" ht="12.75" hidden="false" customHeight="true" outlineLevel="0" collapsed="false">
      <c r="C790" s="88"/>
      <c r="D790" s="89"/>
      <c r="E790" s="71"/>
      <c r="F790" s="11"/>
      <c r="G790" s="90"/>
      <c r="H790" s="89"/>
      <c r="I790" s="91"/>
    </row>
    <row r="791" customFormat="false" ht="12.75" hidden="false" customHeight="true" outlineLevel="0" collapsed="false">
      <c r="C791" s="88"/>
      <c r="D791" s="89"/>
      <c r="E791" s="71"/>
      <c r="F791" s="11"/>
      <c r="G791" s="90"/>
      <c r="H791" s="89"/>
      <c r="I791" s="91"/>
    </row>
    <row r="792" customFormat="false" ht="12.75" hidden="false" customHeight="true" outlineLevel="0" collapsed="false">
      <c r="C792" s="88"/>
      <c r="D792" s="89"/>
      <c r="E792" s="71"/>
      <c r="F792" s="11"/>
      <c r="G792" s="90"/>
      <c r="H792" s="89"/>
      <c r="I792" s="91"/>
    </row>
    <row r="793" customFormat="false" ht="12.75" hidden="false" customHeight="true" outlineLevel="0" collapsed="false">
      <c r="C793" s="88"/>
      <c r="D793" s="89"/>
      <c r="E793" s="71"/>
      <c r="F793" s="11"/>
      <c r="G793" s="90"/>
      <c r="H793" s="89"/>
      <c r="I793" s="91"/>
    </row>
    <row r="794" customFormat="false" ht="12.75" hidden="false" customHeight="true" outlineLevel="0" collapsed="false">
      <c r="C794" s="88"/>
      <c r="D794" s="89"/>
      <c r="E794" s="71"/>
      <c r="F794" s="11"/>
      <c r="G794" s="90"/>
      <c r="H794" s="89"/>
      <c r="I794" s="91"/>
    </row>
    <row r="795" customFormat="false" ht="12.75" hidden="false" customHeight="true" outlineLevel="0" collapsed="false">
      <c r="C795" s="88"/>
      <c r="D795" s="89"/>
      <c r="E795" s="71"/>
      <c r="F795" s="11"/>
      <c r="G795" s="90"/>
      <c r="H795" s="89"/>
      <c r="I795" s="91"/>
    </row>
    <row r="796" customFormat="false" ht="12.75" hidden="false" customHeight="true" outlineLevel="0" collapsed="false">
      <c r="C796" s="88"/>
      <c r="D796" s="89"/>
      <c r="E796" s="71"/>
      <c r="F796" s="11"/>
      <c r="G796" s="90"/>
      <c r="H796" s="89"/>
      <c r="I796" s="91"/>
    </row>
    <row r="797" customFormat="false" ht="12.75" hidden="false" customHeight="true" outlineLevel="0" collapsed="false">
      <c r="C797" s="88"/>
      <c r="D797" s="89"/>
      <c r="E797" s="71"/>
      <c r="F797" s="11"/>
      <c r="G797" s="90"/>
      <c r="H797" s="89"/>
      <c r="I797" s="91"/>
    </row>
    <row r="798" customFormat="false" ht="12.75" hidden="false" customHeight="true" outlineLevel="0" collapsed="false">
      <c r="C798" s="88"/>
      <c r="D798" s="89"/>
      <c r="E798" s="71"/>
      <c r="F798" s="11"/>
      <c r="G798" s="90"/>
      <c r="H798" s="89"/>
      <c r="I798" s="91"/>
    </row>
    <row r="799" customFormat="false" ht="12.75" hidden="false" customHeight="true" outlineLevel="0" collapsed="false">
      <c r="C799" s="88"/>
      <c r="D799" s="89"/>
      <c r="E799" s="71"/>
      <c r="F799" s="11"/>
      <c r="G799" s="90"/>
      <c r="H799" s="89"/>
      <c r="I799" s="91"/>
    </row>
    <row r="800" customFormat="false" ht="12.75" hidden="false" customHeight="true" outlineLevel="0" collapsed="false">
      <c r="C800" s="88"/>
      <c r="D800" s="89"/>
      <c r="E800" s="71"/>
      <c r="F800" s="11"/>
      <c r="G800" s="90"/>
      <c r="H800" s="89"/>
      <c r="I800" s="91"/>
    </row>
    <row r="801" customFormat="false" ht="12.75" hidden="false" customHeight="true" outlineLevel="0" collapsed="false">
      <c r="C801" s="88"/>
      <c r="D801" s="89"/>
      <c r="E801" s="71"/>
      <c r="F801" s="11"/>
      <c r="G801" s="90"/>
      <c r="H801" s="89"/>
      <c r="I801" s="91"/>
    </row>
    <row r="802" customFormat="false" ht="12.75" hidden="false" customHeight="true" outlineLevel="0" collapsed="false">
      <c r="C802" s="88"/>
      <c r="D802" s="89"/>
      <c r="E802" s="71"/>
      <c r="F802" s="11"/>
      <c r="G802" s="90"/>
      <c r="H802" s="89"/>
      <c r="I802" s="91"/>
    </row>
    <row r="803" customFormat="false" ht="12.75" hidden="false" customHeight="true" outlineLevel="0" collapsed="false">
      <c r="C803" s="88"/>
      <c r="D803" s="89"/>
      <c r="E803" s="71"/>
      <c r="F803" s="11"/>
      <c r="G803" s="90"/>
      <c r="H803" s="89"/>
      <c r="I803" s="91"/>
    </row>
    <row r="804" customFormat="false" ht="12.75" hidden="false" customHeight="true" outlineLevel="0" collapsed="false">
      <c r="C804" s="88"/>
      <c r="D804" s="89"/>
      <c r="E804" s="71"/>
      <c r="F804" s="11"/>
      <c r="G804" s="90"/>
      <c r="H804" s="89"/>
      <c r="I804" s="91"/>
    </row>
    <row r="805" customFormat="false" ht="12.75" hidden="false" customHeight="true" outlineLevel="0" collapsed="false">
      <c r="C805" s="88"/>
      <c r="D805" s="89"/>
      <c r="E805" s="71"/>
      <c r="F805" s="11"/>
      <c r="G805" s="90"/>
      <c r="H805" s="89"/>
      <c r="I805" s="91"/>
    </row>
    <row r="806" customFormat="false" ht="12.75" hidden="false" customHeight="true" outlineLevel="0" collapsed="false">
      <c r="C806" s="88"/>
      <c r="D806" s="89"/>
      <c r="E806" s="71"/>
      <c r="F806" s="11"/>
      <c r="G806" s="90"/>
      <c r="H806" s="89"/>
      <c r="I806" s="91"/>
    </row>
    <row r="807" customFormat="false" ht="12.75" hidden="false" customHeight="true" outlineLevel="0" collapsed="false">
      <c r="C807" s="88"/>
      <c r="D807" s="89"/>
      <c r="E807" s="71"/>
      <c r="F807" s="11"/>
      <c r="G807" s="90"/>
      <c r="H807" s="89"/>
      <c r="I807" s="91"/>
    </row>
    <row r="808" customFormat="false" ht="12.75" hidden="false" customHeight="true" outlineLevel="0" collapsed="false">
      <c r="C808" s="88"/>
      <c r="D808" s="89"/>
      <c r="E808" s="71"/>
      <c r="F808" s="11"/>
      <c r="G808" s="90"/>
      <c r="H808" s="89"/>
      <c r="I808" s="91"/>
    </row>
    <row r="809" customFormat="false" ht="12.75" hidden="false" customHeight="true" outlineLevel="0" collapsed="false">
      <c r="C809" s="88"/>
      <c r="D809" s="89"/>
      <c r="E809" s="71"/>
      <c r="F809" s="11"/>
      <c r="G809" s="90"/>
      <c r="H809" s="89"/>
      <c r="I809" s="91"/>
    </row>
    <row r="810" customFormat="false" ht="12.75" hidden="false" customHeight="true" outlineLevel="0" collapsed="false">
      <c r="C810" s="88"/>
      <c r="D810" s="89"/>
      <c r="E810" s="71"/>
      <c r="F810" s="11"/>
      <c r="G810" s="90"/>
      <c r="H810" s="89"/>
      <c r="I810" s="91"/>
    </row>
    <row r="811" customFormat="false" ht="12.75" hidden="false" customHeight="true" outlineLevel="0" collapsed="false">
      <c r="C811" s="88"/>
      <c r="D811" s="89"/>
      <c r="E811" s="71"/>
      <c r="F811" s="11"/>
      <c r="G811" s="90"/>
      <c r="H811" s="89"/>
      <c r="I811" s="91"/>
    </row>
    <row r="812" customFormat="false" ht="12.75" hidden="false" customHeight="true" outlineLevel="0" collapsed="false">
      <c r="C812" s="88"/>
      <c r="D812" s="89"/>
      <c r="E812" s="71"/>
      <c r="F812" s="11"/>
      <c r="G812" s="90"/>
      <c r="H812" s="89"/>
      <c r="I812" s="91"/>
    </row>
    <row r="813" customFormat="false" ht="12.75" hidden="false" customHeight="true" outlineLevel="0" collapsed="false">
      <c r="C813" s="88"/>
      <c r="D813" s="89"/>
      <c r="E813" s="71"/>
      <c r="F813" s="11"/>
      <c r="G813" s="90"/>
      <c r="H813" s="89"/>
      <c r="I813" s="91"/>
    </row>
    <row r="814" customFormat="false" ht="12.75" hidden="false" customHeight="true" outlineLevel="0" collapsed="false">
      <c r="C814" s="88"/>
      <c r="D814" s="89"/>
      <c r="E814" s="71"/>
      <c r="F814" s="11"/>
      <c r="G814" s="90"/>
      <c r="H814" s="89"/>
      <c r="I814" s="91"/>
    </row>
    <row r="815" customFormat="false" ht="12.75" hidden="false" customHeight="true" outlineLevel="0" collapsed="false">
      <c r="C815" s="88"/>
      <c r="D815" s="89"/>
      <c r="E815" s="71"/>
      <c r="F815" s="11"/>
      <c r="G815" s="90"/>
      <c r="H815" s="89"/>
      <c r="I815" s="91"/>
    </row>
    <row r="816" customFormat="false" ht="12.75" hidden="false" customHeight="true" outlineLevel="0" collapsed="false">
      <c r="C816" s="88"/>
      <c r="D816" s="89"/>
      <c r="E816" s="71"/>
      <c r="F816" s="11"/>
      <c r="G816" s="90"/>
      <c r="H816" s="89"/>
      <c r="I816" s="91"/>
    </row>
    <row r="817" customFormat="false" ht="12.75" hidden="false" customHeight="true" outlineLevel="0" collapsed="false">
      <c r="C817" s="88"/>
      <c r="D817" s="89"/>
      <c r="E817" s="71"/>
      <c r="F817" s="11"/>
      <c r="G817" s="90"/>
      <c r="H817" s="89"/>
      <c r="I817" s="91"/>
    </row>
    <row r="818" customFormat="false" ht="12.75" hidden="false" customHeight="true" outlineLevel="0" collapsed="false">
      <c r="C818" s="88"/>
      <c r="D818" s="89"/>
      <c r="E818" s="71"/>
      <c r="F818" s="11"/>
      <c r="G818" s="90"/>
      <c r="H818" s="89"/>
      <c r="I818" s="91"/>
    </row>
    <row r="819" customFormat="false" ht="12.75" hidden="false" customHeight="true" outlineLevel="0" collapsed="false">
      <c r="C819" s="88"/>
      <c r="D819" s="89"/>
      <c r="E819" s="71"/>
      <c r="F819" s="11"/>
      <c r="G819" s="90"/>
      <c r="H819" s="89"/>
      <c r="I819" s="91"/>
    </row>
    <row r="820" customFormat="false" ht="12.75" hidden="false" customHeight="true" outlineLevel="0" collapsed="false">
      <c r="C820" s="88"/>
      <c r="D820" s="89"/>
      <c r="E820" s="71"/>
      <c r="F820" s="11"/>
      <c r="G820" s="90"/>
      <c r="H820" s="89"/>
      <c r="I820" s="91"/>
    </row>
    <row r="821" customFormat="false" ht="12.75" hidden="false" customHeight="true" outlineLevel="0" collapsed="false">
      <c r="C821" s="88"/>
      <c r="D821" s="89"/>
      <c r="E821" s="71"/>
      <c r="F821" s="11"/>
      <c r="G821" s="90"/>
      <c r="H821" s="89"/>
      <c r="I821" s="91"/>
    </row>
    <row r="822" customFormat="false" ht="12.75" hidden="false" customHeight="true" outlineLevel="0" collapsed="false">
      <c r="C822" s="88"/>
      <c r="D822" s="89"/>
      <c r="E822" s="71"/>
      <c r="F822" s="11"/>
      <c r="G822" s="90"/>
      <c r="H822" s="89"/>
      <c r="I822" s="91"/>
    </row>
    <row r="823" customFormat="false" ht="12.75" hidden="false" customHeight="true" outlineLevel="0" collapsed="false">
      <c r="C823" s="88"/>
      <c r="D823" s="89"/>
      <c r="E823" s="71"/>
      <c r="F823" s="11"/>
      <c r="G823" s="90"/>
      <c r="H823" s="89"/>
      <c r="I823" s="91"/>
    </row>
    <row r="824" customFormat="false" ht="12.75" hidden="false" customHeight="true" outlineLevel="0" collapsed="false">
      <c r="C824" s="88"/>
      <c r="D824" s="89"/>
      <c r="E824" s="71"/>
      <c r="F824" s="11"/>
      <c r="G824" s="90"/>
      <c r="H824" s="89"/>
      <c r="I824" s="91"/>
    </row>
    <row r="825" customFormat="false" ht="12.75" hidden="false" customHeight="true" outlineLevel="0" collapsed="false">
      <c r="C825" s="88"/>
      <c r="D825" s="89"/>
      <c r="E825" s="71"/>
      <c r="F825" s="11"/>
      <c r="G825" s="90"/>
      <c r="H825" s="89"/>
      <c r="I825" s="91"/>
    </row>
    <row r="826" customFormat="false" ht="12.75" hidden="false" customHeight="true" outlineLevel="0" collapsed="false">
      <c r="C826" s="88"/>
      <c r="D826" s="89"/>
      <c r="E826" s="71"/>
      <c r="F826" s="11"/>
      <c r="G826" s="90"/>
      <c r="H826" s="89"/>
      <c r="I826" s="91"/>
    </row>
    <row r="827" customFormat="false" ht="12.75" hidden="false" customHeight="true" outlineLevel="0" collapsed="false">
      <c r="C827" s="88"/>
      <c r="D827" s="89"/>
      <c r="E827" s="71"/>
      <c r="F827" s="11"/>
      <c r="G827" s="90"/>
      <c r="H827" s="89"/>
      <c r="I827" s="91"/>
    </row>
    <row r="828" customFormat="false" ht="12.75" hidden="false" customHeight="true" outlineLevel="0" collapsed="false">
      <c r="C828" s="88"/>
      <c r="D828" s="89"/>
      <c r="E828" s="71"/>
      <c r="F828" s="11"/>
      <c r="G828" s="90"/>
      <c r="H828" s="89"/>
      <c r="I828" s="91"/>
    </row>
    <row r="829" customFormat="false" ht="12.75" hidden="false" customHeight="true" outlineLevel="0" collapsed="false">
      <c r="C829" s="88"/>
      <c r="D829" s="89"/>
      <c r="E829" s="71"/>
      <c r="F829" s="11"/>
      <c r="G829" s="90"/>
      <c r="H829" s="89"/>
      <c r="I829" s="91"/>
    </row>
    <row r="830" customFormat="false" ht="12.75" hidden="false" customHeight="true" outlineLevel="0" collapsed="false">
      <c r="C830" s="88"/>
      <c r="D830" s="89"/>
      <c r="E830" s="71"/>
      <c r="F830" s="11"/>
      <c r="G830" s="90"/>
      <c r="H830" s="89"/>
      <c r="I830" s="91"/>
    </row>
    <row r="831" customFormat="false" ht="12.75" hidden="false" customHeight="true" outlineLevel="0" collapsed="false">
      <c r="C831" s="88"/>
      <c r="D831" s="89"/>
      <c r="E831" s="71"/>
      <c r="F831" s="11"/>
      <c r="G831" s="90"/>
      <c r="H831" s="89"/>
      <c r="I831" s="91"/>
    </row>
    <row r="832" customFormat="false" ht="12.75" hidden="false" customHeight="true" outlineLevel="0" collapsed="false">
      <c r="C832" s="88"/>
      <c r="D832" s="89"/>
      <c r="E832" s="71"/>
      <c r="F832" s="11"/>
      <c r="G832" s="90"/>
      <c r="H832" s="89"/>
      <c r="I832" s="91"/>
    </row>
    <row r="833" customFormat="false" ht="12.75" hidden="false" customHeight="true" outlineLevel="0" collapsed="false">
      <c r="C833" s="88"/>
      <c r="D833" s="89"/>
      <c r="E833" s="71"/>
      <c r="F833" s="11"/>
      <c r="G833" s="90"/>
      <c r="H833" s="89"/>
      <c r="I833" s="91"/>
    </row>
    <row r="834" customFormat="false" ht="12.75" hidden="false" customHeight="true" outlineLevel="0" collapsed="false">
      <c r="C834" s="88"/>
      <c r="D834" s="89"/>
      <c r="E834" s="71"/>
      <c r="F834" s="11"/>
      <c r="G834" s="90"/>
      <c r="H834" s="89"/>
      <c r="I834" s="91"/>
    </row>
    <row r="835" customFormat="false" ht="12.75" hidden="false" customHeight="true" outlineLevel="0" collapsed="false">
      <c r="C835" s="88"/>
      <c r="D835" s="89"/>
      <c r="E835" s="71"/>
      <c r="F835" s="11"/>
      <c r="G835" s="90"/>
      <c r="H835" s="89"/>
      <c r="I835" s="91"/>
    </row>
    <row r="836" customFormat="false" ht="12.75" hidden="false" customHeight="true" outlineLevel="0" collapsed="false">
      <c r="C836" s="88"/>
      <c r="D836" s="89"/>
      <c r="E836" s="71"/>
      <c r="F836" s="11"/>
      <c r="G836" s="90"/>
      <c r="H836" s="89"/>
      <c r="I836" s="91"/>
    </row>
    <row r="837" customFormat="false" ht="12.75" hidden="false" customHeight="true" outlineLevel="0" collapsed="false">
      <c r="C837" s="88"/>
      <c r="D837" s="89"/>
      <c r="E837" s="71"/>
      <c r="F837" s="11"/>
      <c r="G837" s="90"/>
      <c r="H837" s="89"/>
      <c r="I837" s="91"/>
    </row>
    <row r="838" customFormat="false" ht="12.75" hidden="false" customHeight="true" outlineLevel="0" collapsed="false">
      <c r="C838" s="88"/>
      <c r="D838" s="89"/>
      <c r="E838" s="71"/>
      <c r="F838" s="11"/>
      <c r="G838" s="90"/>
      <c r="H838" s="89"/>
      <c r="I838" s="91"/>
    </row>
    <row r="839" customFormat="false" ht="12.75" hidden="false" customHeight="true" outlineLevel="0" collapsed="false">
      <c r="C839" s="88"/>
      <c r="D839" s="89"/>
      <c r="E839" s="71"/>
      <c r="F839" s="11"/>
      <c r="G839" s="90"/>
      <c r="H839" s="89"/>
      <c r="I839" s="91"/>
    </row>
    <row r="840" customFormat="false" ht="12.75" hidden="false" customHeight="true" outlineLevel="0" collapsed="false">
      <c r="C840" s="88"/>
      <c r="D840" s="89"/>
      <c r="E840" s="71"/>
      <c r="F840" s="11"/>
      <c r="G840" s="90"/>
      <c r="H840" s="89"/>
      <c r="I840" s="91"/>
    </row>
    <row r="841" customFormat="false" ht="12.75" hidden="false" customHeight="true" outlineLevel="0" collapsed="false">
      <c r="C841" s="88"/>
      <c r="D841" s="89"/>
      <c r="E841" s="71"/>
      <c r="F841" s="11"/>
      <c r="G841" s="90"/>
      <c r="H841" s="89"/>
      <c r="I841" s="91"/>
    </row>
    <row r="842" customFormat="false" ht="12.75" hidden="false" customHeight="true" outlineLevel="0" collapsed="false">
      <c r="C842" s="88"/>
      <c r="D842" s="89"/>
      <c r="E842" s="71"/>
      <c r="F842" s="11"/>
      <c r="G842" s="90"/>
      <c r="H842" s="89"/>
      <c r="I842" s="91"/>
    </row>
    <row r="843" customFormat="false" ht="12.75" hidden="false" customHeight="true" outlineLevel="0" collapsed="false">
      <c r="C843" s="88"/>
      <c r="D843" s="89"/>
      <c r="E843" s="71"/>
      <c r="F843" s="11"/>
      <c r="G843" s="90"/>
      <c r="H843" s="89"/>
      <c r="I843" s="91"/>
    </row>
    <row r="844" customFormat="false" ht="12.75" hidden="false" customHeight="true" outlineLevel="0" collapsed="false">
      <c r="C844" s="88"/>
      <c r="D844" s="89"/>
      <c r="E844" s="71"/>
      <c r="F844" s="11"/>
      <c r="G844" s="90"/>
      <c r="H844" s="89"/>
      <c r="I844" s="91"/>
    </row>
    <row r="845" customFormat="false" ht="12.75" hidden="false" customHeight="true" outlineLevel="0" collapsed="false">
      <c r="C845" s="88"/>
      <c r="D845" s="89"/>
      <c r="E845" s="71"/>
      <c r="F845" s="11"/>
      <c r="G845" s="90"/>
      <c r="H845" s="89"/>
      <c r="I845" s="91"/>
    </row>
    <row r="846" customFormat="false" ht="12.75" hidden="false" customHeight="true" outlineLevel="0" collapsed="false">
      <c r="C846" s="88"/>
      <c r="D846" s="89"/>
      <c r="E846" s="71"/>
      <c r="F846" s="11"/>
      <c r="G846" s="90"/>
      <c r="H846" s="89"/>
      <c r="I846" s="91"/>
    </row>
    <row r="847" customFormat="false" ht="12.75" hidden="false" customHeight="true" outlineLevel="0" collapsed="false">
      <c r="C847" s="88"/>
      <c r="D847" s="89"/>
      <c r="E847" s="71"/>
      <c r="F847" s="11"/>
      <c r="G847" s="90"/>
      <c r="H847" s="89"/>
      <c r="I847" s="91"/>
    </row>
    <row r="848" customFormat="false" ht="12.75" hidden="false" customHeight="true" outlineLevel="0" collapsed="false">
      <c r="C848" s="88"/>
      <c r="D848" s="89"/>
      <c r="E848" s="71"/>
      <c r="F848" s="11"/>
      <c r="G848" s="90"/>
      <c r="H848" s="89"/>
      <c r="I848" s="91"/>
    </row>
    <row r="849" customFormat="false" ht="12.75" hidden="false" customHeight="true" outlineLevel="0" collapsed="false">
      <c r="C849" s="88"/>
      <c r="D849" s="89"/>
      <c r="E849" s="71"/>
      <c r="F849" s="11"/>
      <c r="G849" s="90"/>
      <c r="H849" s="89"/>
      <c r="I849" s="91"/>
    </row>
    <row r="850" customFormat="false" ht="12.75" hidden="false" customHeight="true" outlineLevel="0" collapsed="false">
      <c r="C850" s="88"/>
      <c r="D850" s="89"/>
      <c r="E850" s="71"/>
      <c r="F850" s="11"/>
      <c r="G850" s="90"/>
      <c r="H850" s="89"/>
      <c r="I850" s="91"/>
    </row>
    <row r="851" customFormat="false" ht="12.75" hidden="false" customHeight="true" outlineLevel="0" collapsed="false">
      <c r="C851" s="88"/>
      <c r="D851" s="89"/>
      <c r="E851" s="71"/>
      <c r="F851" s="11"/>
      <c r="G851" s="90"/>
      <c r="H851" s="89"/>
      <c r="I851" s="91"/>
    </row>
    <row r="852" customFormat="false" ht="12.75" hidden="false" customHeight="true" outlineLevel="0" collapsed="false">
      <c r="C852" s="88"/>
      <c r="D852" s="89"/>
      <c r="E852" s="71"/>
      <c r="F852" s="11"/>
      <c r="G852" s="90"/>
      <c r="H852" s="89"/>
      <c r="I852" s="91"/>
    </row>
    <row r="853" customFormat="false" ht="12.75" hidden="false" customHeight="true" outlineLevel="0" collapsed="false">
      <c r="C853" s="88"/>
      <c r="D853" s="89"/>
      <c r="E853" s="71"/>
      <c r="F853" s="11"/>
      <c r="G853" s="90"/>
      <c r="H853" s="89"/>
      <c r="I853" s="91"/>
    </row>
    <row r="854" customFormat="false" ht="12.75" hidden="false" customHeight="true" outlineLevel="0" collapsed="false">
      <c r="C854" s="88"/>
      <c r="D854" s="89"/>
      <c r="E854" s="71"/>
      <c r="F854" s="11"/>
      <c r="G854" s="90"/>
      <c r="H854" s="89"/>
      <c r="I854" s="91"/>
    </row>
    <row r="855" customFormat="false" ht="12.75" hidden="false" customHeight="true" outlineLevel="0" collapsed="false">
      <c r="C855" s="88"/>
      <c r="D855" s="89"/>
      <c r="E855" s="71"/>
      <c r="F855" s="11"/>
      <c r="G855" s="90"/>
      <c r="H855" s="89"/>
      <c r="I855" s="91"/>
    </row>
    <row r="856" customFormat="false" ht="12.75" hidden="false" customHeight="true" outlineLevel="0" collapsed="false">
      <c r="C856" s="88"/>
      <c r="D856" s="89"/>
      <c r="E856" s="71"/>
      <c r="F856" s="11"/>
      <c r="G856" s="90"/>
      <c r="H856" s="89"/>
      <c r="I856" s="91"/>
    </row>
    <row r="857" customFormat="false" ht="12.75" hidden="false" customHeight="true" outlineLevel="0" collapsed="false">
      <c r="C857" s="88"/>
      <c r="D857" s="89"/>
      <c r="E857" s="71"/>
      <c r="F857" s="11"/>
      <c r="G857" s="90"/>
      <c r="H857" s="89"/>
      <c r="I857" s="91"/>
    </row>
    <row r="858" customFormat="false" ht="12.75" hidden="false" customHeight="true" outlineLevel="0" collapsed="false">
      <c r="C858" s="88"/>
      <c r="D858" s="89"/>
      <c r="E858" s="71"/>
      <c r="F858" s="11"/>
      <c r="G858" s="90"/>
      <c r="H858" s="89"/>
      <c r="I858" s="91"/>
    </row>
    <row r="859" customFormat="false" ht="12.75" hidden="false" customHeight="true" outlineLevel="0" collapsed="false">
      <c r="C859" s="88"/>
      <c r="D859" s="89"/>
      <c r="E859" s="71"/>
      <c r="F859" s="11"/>
      <c r="G859" s="90"/>
      <c r="H859" s="89"/>
      <c r="I859" s="91"/>
    </row>
    <row r="860" customFormat="false" ht="12.75" hidden="false" customHeight="true" outlineLevel="0" collapsed="false">
      <c r="C860" s="88"/>
      <c r="D860" s="89"/>
      <c r="E860" s="71"/>
      <c r="F860" s="11"/>
      <c r="G860" s="90"/>
      <c r="H860" s="89"/>
      <c r="I860" s="91"/>
    </row>
    <row r="861" customFormat="false" ht="12.75" hidden="false" customHeight="true" outlineLevel="0" collapsed="false">
      <c r="C861" s="88"/>
      <c r="D861" s="89"/>
      <c r="E861" s="71"/>
      <c r="F861" s="11"/>
      <c r="G861" s="90"/>
      <c r="H861" s="89"/>
      <c r="I861" s="91"/>
    </row>
    <row r="862" customFormat="false" ht="12.75" hidden="false" customHeight="true" outlineLevel="0" collapsed="false">
      <c r="C862" s="88"/>
      <c r="D862" s="89"/>
      <c r="E862" s="71"/>
      <c r="F862" s="11"/>
      <c r="G862" s="90"/>
      <c r="H862" s="89"/>
      <c r="I862" s="91"/>
    </row>
    <row r="863" customFormat="false" ht="12.75" hidden="false" customHeight="true" outlineLevel="0" collapsed="false">
      <c r="C863" s="88"/>
      <c r="D863" s="89"/>
      <c r="E863" s="71"/>
      <c r="F863" s="11"/>
      <c r="G863" s="90"/>
      <c r="H863" s="89"/>
      <c r="I863" s="91"/>
    </row>
    <row r="864" customFormat="false" ht="12.75" hidden="false" customHeight="true" outlineLevel="0" collapsed="false">
      <c r="C864" s="88"/>
      <c r="D864" s="89"/>
      <c r="E864" s="71"/>
      <c r="F864" s="11"/>
      <c r="G864" s="90"/>
      <c r="H864" s="89"/>
      <c r="I864" s="91"/>
    </row>
    <row r="865" customFormat="false" ht="12.75" hidden="false" customHeight="true" outlineLevel="0" collapsed="false">
      <c r="C865" s="88"/>
      <c r="D865" s="89"/>
      <c r="E865" s="71"/>
      <c r="F865" s="11"/>
      <c r="G865" s="90"/>
      <c r="H865" s="89"/>
      <c r="I865" s="91"/>
    </row>
    <row r="866" customFormat="false" ht="12.75" hidden="false" customHeight="true" outlineLevel="0" collapsed="false">
      <c r="C866" s="88"/>
      <c r="D866" s="89"/>
      <c r="E866" s="71"/>
      <c r="F866" s="11"/>
      <c r="G866" s="90"/>
      <c r="H866" s="89"/>
      <c r="I866" s="91"/>
    </row>
    <row r="867" customFormat="false" ht="12.75" hidden="false" customHeight="true" outlineLevel="0" collapsed="false">
      <c r="C867" s="88"/>
      <c r="D867" s="89"/>
      <c r="E867" s="71"/>
      <c r="F867" s="11"/>
      <c r="G867" s="90"/>
      <c r="H867" s="89"/>
      <c r="I867" s="91"/>
    </row>
    <row r="868" customFormat="false" ht="12.75" hidden="false" customHeight="true" outlineLevel="0" collapsed="false">
      <c r="C868" s="88"/>
      <c r="D868" s="89"/>
      <c r="E868" s="71"/>
      <c r="F868" s="11"/>
      <c r="G868" s="90"/>
      <c r="H868" s="89"/>
      <c r="I868" s="91"/>
    </row>
    <row r="869" customFormat="false" ht="12.75" hidden="false" customHeight="true" outlineLevel="0" collapsed="false">
      <c r="C869" s="88"/>
      <c r="D869" s="89"/>
      <c r="E869" s="71"/>
      <c r="F869" s="11"/>
      <c r="G869" s="90"/>
      <c r="H869" s="89"/>
      <c r="I869" s="91"/>
    </row>
    <row r="870" customFormat="false" ht="12.75" hidden="false" customHeight="true" outlineLevel="0" collapsed="false">
      <c r="C870" s="88"/>
      <c r="D870" s="89"/>
      <c r="E870" s="71"/>
      <c r="F870" s="11"/>
      <c r="G870" s="90"/>
      <c r="H870" s="89"/>
      <c r="I870" s="91"/>
    </row>
    <row r="871" customFormat="false" ht="12.75" hidden="false" customHeight="true" outlineLevel="0" collapsed="false">
      <c r="C871" s="88"/>
      <c r="D871" s="89"/>
      <c r="E871" s="71"/>
      <c r="F871" s="11"/>
      <c r="G871" s="90"/>
      <c r="H871" s="89"/>
      <c r="I871" s="91"/>
    </row>
    <row r="872" customFormat="false" ht="12.75" hidden="false" customHeight="true" outlineLevel="0" collapsed="false">
      <c r="C872" s="88"/>
      <c r="D872" s="89"/>
      <c r="E872" s="71"/>
      <c r="F872" s="11"/>
      <c r="G872" s="90"/>
      <c r="H872" s="89"/>
      <c r="I872" s="91"/>
    </row>
    <row r="873" customFormat="false" ht="12.75" hidden="false" customHeight="true" outlineLevel="0" collapsed="false">
      <c r="C873" s="88"/>
      <c r="D873" s="89"/>
      <c r="E873" s="71"/>
      <c r="F873" s="11"/>
      <c r="G873" s="90"/>
      <c r="H873" s="89"/>
      <c r="I873" s="91"/>
    </row>
    <row r="874" customFormat="false" ht="12.75" hidden="false" customHeight="true" outlineLevel="0" collapsed="false">
      <c r="C874" s="88"/>
      <c r="D874" s="89"/>
      <c r="E874" s="71"/>
      <c r="F874" s="11"/>
      <c r="G874" s="90"/>
      <c r="H874" s="89"/>
      <c r="I874" s="91"/>
    </row>
    <row r="875" customFormat="false" ht="12.75" hidden="false" customHeight="true" outlineLevel="0" collapsed="false">
      <c r="C875" s="88"/>
      <c r="D875" s="89"/>
      <c r="E875" s="71"/>
      <c r="F875" s="11"/>
      <c r="G875" s="90"/>
      <c r="H875" s="89"/>
      <c r="I875" s="91"/>
    </row>
    <row r="876" customFormat="false" ht="12.75" hidden="false" customHeight="true" outlineLevel="0" collapsed="false">
      <c r="C876" s="88"/>
      <c r="D876" s="89"/>
      <c r="E876" s="71"/>
      <c r="F876" s="11"/>
      <c r="G876" s="90"/>
      <c r="H876" s="89"/>
      <c r="I876" s="91"/>
    </row>
    <row r="877" customFormat="false" ht="12.75" hidden="false" customHeight="true" outlineLevel="0" collapsed="false">
      <c r="C877" s="88"/>
      <c r="D877" s="89"/>
      <c r="E877" s="71"/>
      <c r="F877" s="11"/>
      <c r="G877" s="90"/>
      <c r="H877" s="89"/>
      <c r="I877" s="91"/>
    </row>
    <row r="878" customFormat="false" ht="12.75" hidden="false" customHeight="true" outlineLevel="0" collapsed="false">
      <c r="C878" s="88"/>
      <c r="D878" s="89"/>
      <c r="E878" s="71"/>
      <c r="F878" s="11"/>
      <c r="G878" s="90"/>
      <c r="H878" s="89"/>
      <c r="I878" s="91"/>
    </row>
    <row r="879" customFormat="false" ht="12.75" hidden="false" customHeight="true" outlineLevel="0" collapsed="false">
      <c r="C879" s="88"/>
      <c r="D879" s="89"/>
      <c r="E879" s="71"/>
      <c r="F879" s="11"/>
      <c r="G879" s="90"/>
      <c r="H879" s="89"/>
      <c r="I879" s="91"/>
    </row>
    <row r="880" customFormat="false" ht="12.75" hidden="false" customHeight="true" outlineLevel="0" collapsed="false">
      <c r="C880" s="88"/>
      <c r="D880" s="89"/>
      <c r="E880" s="71"/>
      <c r="F880" s="11"/>
      <c r="G880" s="90"/>
      <c r="H880" s="89"/>
      <c r="I880" s="91"/>
    </row>
    <row r="881" customFormat="false" ht="12.75" hidden="false" customHeight="true" outlineLevel="0" collapsed="false">
      <c r="C881" s="88"/>
      <c r="D881" s="89"/>
      <c r="E881" s="71"/>
      <c r="F881" s="11"/>
      <c r="G881" s="90"/>
      <c r="H881" s="89"/>
      <c r="I881" s="91"/>
    </row>
    <row r="882" customFormat="false" ht="12.75" hidden="false" customHeight="true" outlineLevel="0" collapsed="false">
      <c r="C882" s="88"/>
      <c r="D882" s="89"/>
      <c r="E882" s="71"/>
      <c r="F882" s="11"/>
      <c r="G882" s="90"/>
      <c r="H882" s="89"/>
      <c r="I882" s="91"/>
    </row>
    <row r="883" customFormat="false" ht="12.75" hidden="false" customHeight="true" outlineLevel="0" collapsed="false">
      <c r="C883" s="88"/>
      <c r="D883" s="89"/>
      <c r="E883" s="71"/>
      <c r="F883" s="11"/>
      <c r="G883" s="90"/>
      <c r="H883" s="89"/>
      <c r="I883" s="91"/>
    </row>
    <row r="884" customFormat="false" ht="12.75" hidden="false" customHeight="true" outlineLevel="0" collapsed="false">
      <c r="C884" s="88"/>
      <c r="D884" s="89"/>
      <c r="E884" s="71"/>
      <c r="F884" s="11"/>
      <c r="G884" s="90"/>
      <c r="H884" s="89"/>
      <c r="I884" s="91"/>
    </row>
    <row r="885" customFormat="false" ht="12.75" hidden="false" customHeight="true" outlineLevel="0" collapsed="false">
      <c r="C885" s="88"/>
      <c r="D885" s="89"/>
      <c r="E885" s="71"/>
      <c r="F885" s="11"/>
      <c r="G885" s="90"/>
      <c r="H885" s="89"/>
      <c r="I885" s="91"/>
    </row>
    <row r="886" customFormat="false" ht="12.75" hidden="false" customHeight="true" outlineLevel="0" collapsed="false">
      <c r="C886" s="88"/>
      <c r="D886" s="89"/>
      <c r="E886" s="71"/>
      <c r="F886" s="11"/>
      <c r="G886" s="90"/>
      <c r="H886" s="89"/>
      <c r="I886" s="91"/>
    </row>
    <row r="887" customFormat="false" ht="12.75" hidden="false" customHeight="true" outlineLevel="0" collapsed="false">
      <c r="C887" s="88"/>
      <c r="D887" s="89"/>
      <c r="E887" s="71"/>
      <c r="F887" s="11"/>
      <c r="G887" s="90"/>
      <c r="H887" s="89"/>
      <c r="I887" s="91"/>
    </row>
    <row r="888" customFormat="false" ht="12.75" hidden="false" customHeight="true" outlineLevel="0" collapsed="false">
      <c r="C888" s="88"/>
      <c r="D888" s="89"/>
      <c r="E888" s="71"/>
      <c r="F888" s="11"/>
      <c r="G888" s="90"/>
      <c r="H888" s="89"/>
      <c r="I888" s="91"/>
    </row>
    <row r="889" customFormat="false" ht="12.75" hidden="false" customHeight="true" outlineLevel="0" collapsed="false">
      <c r="C889" s="88"/>
      <c r="D889" s="89"/>
      <c r="E889" s="71"/>
      <c r="F889" s="11"/>
      <c r="G889" s="90"/>
      <c r="H889" s="89"/>
      <c r="I889" s="91"/>
    </row>
    <row r="890" customFormat="false" ht="12.75" hidden="false" customHeight="true" outlineLevel="0" collapsed="false">
      <c r="C890" s="88"/>
      <c r="D890" s="89"/>
      <c r="E890" s="71"/>
      <c r="F890" s="11"/>
      <c r="G890" s="90"/>
      <c r="H890" s="89"/>
      <c r="I890" s="91"/>
    </row>
    <row r="891" customFormat="false" ht="12.75" hidden="false" customHeight="true" outlineLevel="0" collapsed="false">
      <c r="C891" s="88"/>
      <c r="D891" s="89"/>
      <c r="E891" s="71"/>
      <c r="F891" s="11"/>
      <c r="G891" s="90"/>
      <c r="H891" s="89"/>
      <c r="I891" s="91"/>
    </row>
    <row r="892" customFormat="false" ht="12.75" hidden="false" customHeight="true" outlineLevel="0" collapsed="false">
      <c r="C892" s="88"/>
      <c r="D892" s="89"/>
      <c r="E892" s="71"/>
      <c r="F892" s="11"/>
      <c r="G892" s="90"/>
      <c r="H892" s="89"/>
      <c r="I892" s="91"/>
    </row>
    <row r="893" customFormat="false" ht="12.75" hidden="false" customHeight="true" outlineLevel="0" collapsed="false">
      <c r="C893" s="88"/>
      <c r="D893" s="89"/>
      <c r="E893" s="71"/>
      <c r="F893" s="11"/>
      <c r="G893" s="90"/>
      <c r="H893" s="89"/>
      <c r="I893" s="91"/>
    </row>
    <row r="894" customFormat="false" ht="12.75" hidden="false" customHeight="true" outlineLevel="0" collapsed="false">
      <c r="C894" s="88"/>
      <c r="D894" s="89"/>
      <c r="E894" s="71"/>
      <c r="F894" s="11"/>
      <c r="G894" s="90"/>
      <c r="H894" s="89"/>
      <c r="I894" s="91"/>
    </row>
    <row r="895" customFormat="false" ht="12.75" hidden="false" customHeight="true" outlineLevel="0" collapsed="false">
      <c r="C895" s="88"/>
      <c r="D895" s="89"/>
      <c r="E895" s="71"/>
      <c r="F895" s="11"/>
      <c r="G895" s="90"/>
      <c r="H895" s="89"/>
      <c r="I895" s="91"/>
    </row>
    <row r="896" customFormat="false" ht="12.75" hidden="false" customHeight="true" outlineLevel="0" collapsed="false">
      <c r="C896" s="88"/>
      <c r="D896" s="89"/>
      <c r="E896" s="71"/>
      <c r="F896" s="11"/>
      <c r="G896" s="90"/>
      <c r="H896" s="89"/>
      <c r="I896" s="91"/>
    </row>
    <row r="897" customFormat="false" ht="12.75" hidden="false" customHeight="true" outlineLevel="0" collapsed="false">
      <c r="C897" s="88"/>
      <c r="D897" s="89"/>
      <c r="E897" s="71"/>
      <c r="F897" s="11"/>
      <c r="G897" s="90"/>
      <c r="H897" s="89"/>
      <c r="I897" s="91"/>
    </row>
    <row r="898" customFormat="false" ht="12.75" hidden="false" customHeight="true" outlineLevel="0" collapsed="false">
      <c r="C898" s="88"/>
      <c r="D898" s="89"/>
      <c r="E898" s="71"/>
      <c r="F898" s="11"/>
      <c r="G898" s="90"/>
      <c r="H898" s="89"/>
      <c r="I898" s="91"/>
    </row>
    <row r="899" customFormat="false" ht="12.75" hidden="false" customHeight="true" outlineLevel="0" collapsed="false">
      <c r="C899" s="88"/>
      <c r="D899" s="89"/>
      <c r="E899" s="71"/>
      <c r="F899" s="11"/>
      <c r="G899" s="90"/>
      <c r="H899" s="89"/>
      <c r="I899" s="91"/>
    </row>
    <row r="900" customFormat="false" ht="12.75" hidden="false" customHeight="true" outlineLevel="0" collapsed="false">
      <c r="C900" s="88"/>
      <c r="D900" s="89"/>
      <c r="E900" s="71"/>
      <c r="F900" s="11"/>
      <c r="G900" s="90"/>
      <c r="H900" s="89"/>
      <c r="I900" s="91"/>
    </row>
    <row r="901" customFormat="false" ht="12.75" hidden="false" customHeight="true" outlineLevel="0" collapsed="false">
      <c r="C901" s="88"/>
      <c r="D901" s="89"/>
      <c r="E901" s="71"/>
      <c r="F901" s="11"/>
      <c r="G901" s="90"/>
      <c r="H901" s="89"/>
      <c r="I901" s="91"/>
    </row>
    <row r="902" customFormat="false" ht="12.75" hidden="false" customHeight="true" outlineLevel="0" collapsed="false">
      <c r="C902" s="88"/>
      <c r="D902" s="89"/>
      <c r="E902" s="71"/>
      <c r="F902" s="11"/>
      <c r="G902" s="90"/>
      <c r="H902" s="89"/>
      <c r="I902" s="91"/>
    </row>
    <row r="903" customFormat="false" ht="12.75" hidden="false" customHeight="true" outlineLevel="0" collapsed="false">
      <c r="C903" s="88"/>
      <c r="D903" s="89"/>
      <c r="E903" s="71"/>
      <c r="F903" s="11"/>
      <c r="G903" s="90"/>
      <c r="H903" s="89"/>
      <c r="I903" s="91"/>
    </row>
    <row r="904" customFormat="false" ht="12.75" hidden="false" customHeight="true" outlineLevel="0" collapsed="false">
      <c r="C904" s="88"/>
      <c r="D904" s="89"/>
      <c r="E904" s="71"/>
      <c r="F904" s="11"/>
      <c r="G904" s="90"/>
      <c r="H904" s="89"/>
      <c r="I904" s="91"/>
    </row>
    <row r="905" customFormat="false" ht="12.75" hidden="false" customHeight="true" outlineLevel="0" collapsed="false">
      <c r="C905" s="88"/>
      <c r="D905" s="89"/>
      <c r="E905" s="71"/>
      <c r="F905" s="11"/>
      <c r="G905" s="90"/>
      <c r="H905" s="89"/>
      <c r="I905" s="91"/>
    </row>
    <row r="906" customFormat="false" ht="12.75" hidden="false" customHeight="true" outlineLevel="0" collapsed="false">
      <c r="C906" s="88"/>
      <c r="D906" s="89"/>
      <c r="E906" s="71"/>
      <c r="F906" s="11"/>
      <c r="G906" s="90"/>
      <c r="H906" s="89"/>
      <c r="I906" s="91"/>
    </row>
    <row r="907" customFormat="false" ht="12.75" hidden="false" customHeight="true" outlineLevel="0" collapsed="false">
      <c r="C907" s="88"/>
      <c r="D907" s="89"/>
      <c r="E907" s="71"/>
      <c r="F907" s="11"/>
      <c r="G907" s="90"/>
      <c r="H907" s="89"/>
      <c r="I907" s="91"/>
    </row>
    <row r="908" customFormat="false" ht="12.75" hidden="false" customHeight="true" outlineLevel="0" collapsed="false">
      <c r="C908" s="88"/>
      <c r="D908" s="89"/>
      <c r="E908" s="71"/>
      <c r="F908" s="11"/>
      <c r="G908" s="90"/>
      <c r="H908" s="89"/>
      <c r="I908" s="91"/>
    </row>
    <row r="909" customFormat="false" ht="12.75" hidden="false" customHeight="true" outlineLevel="0" collapsed="false">
      <c r="C909" s="88"/>
      <c r="D909" s="89"/>
      <c r="E909" s="71"/>
      <c r="F909" s="11"/>
      <c r="G909" s="90"/>
      <c r="H909" s="89"/>
      <c r="I909" s="91"/>
    </row>
    <row r="910" customFormat="false" ht="12.75" hidden="false" customHeight="true" outlineLevel="0" collapsed="false">
      <c r="C910" s="88"/>
      <c r="D910" s="89"/>
      <c r="E910" s="71"/>
      <c r="F910" s="11"/>
      <c r="G910" s="90"/>
      <c r="H910" s="89"/>
      <c r="I910" s="91"/>
    </row>
    <row r="911" customFormat="false" ht="12.75" hidden="false" customHeight="true" outlineLevel="0" collapsed="false">
      <c r="C911" s="88"/>
      <c r="D911" s="89"/>
      <c r="E911" s="71"/>
      <c r="F911" s="11"/>
      <c r="G911" s="90"/>
      <c r="H911" s="89"/>
      <c r="I911" s="91"/>
    </row>
    <row r="912" customFormat="false" ht="12.75" hidden="false" customHeight="true" outlineLevel="0" collapsed="false">
      <c r="C912" s="88"/>
      <c r="D912" s="89"/>
      <c r="E912" s="71"/>
      <c r="F912" s="11"/>
      <c r="G912" s="90"/>
      <c r="H912" s="89"/>
      <c r="I912" s="91"/>
    </row>
    <row r="913" customFormat="false" ht="12.75" hidden="false" customHeight="true" outlineLevel="0" collapsed="false">
      <c r="C913" s="88"/>
      <c r="D913" s="89"/>
      <c r="E913" s="71"/>
      <c r="F913" s="11"/>
      <c r="G913" s="90"/>
      <c r="H913" s="89"/>
      <c r="I913" s="91"/>
    </row>
    <row r="914" customFormat="false" ht="12.75" hidden="false" customHeight="true" outlineLevel="0" collapsed="false">
      <c r="C914" s="88"/>
      <c r="D914" s="89"/>
      <c r="E914" s="71"/>
      <c r="F914" s="11"/>
      <c r="G914" s="90"/>
      <c r="H914" s="89"/>
      <c r="I914" s="91"/>
    </row>
    <row r="915" customFormat="false" ht="12.75" hidden="false" customHeight="true" outlineLevel="0" collapsed="false">
      <c r="C915" s="88"/>
      <c r="D915" s="89"/>
      <c r="E915" s="71"/>
      <c r="F915" s="11"/>
      <c r="G915" s="90"/>
      <c r="H915" s="89"/>
      <c r="I915" s="91"/>
    </row>
    <row r="916" customFormat="false" ht="12.75" hidden="false" customHeight="true" outlineLevel="0" collapsed="false">
      <c r="C916" s="88"/>
      <c r="D916" s="89"/>
      <c r="E916" s="71"/>
      <c r="F916" s="11"/>
      <c r="G916" s="90"/>
      <c r="H916" s="89"/>
      <c r="I916" s="91"/>
    </row>
    <row r="917" customFormat="false" ht="12.75" hidden="false" customHeight="true" outlineLevel="0" collapsed="false">
      <c r="C917" s="88"/>
      <c r="D917" s="89"/>
      <c r="E917" s="71"/>
      <c r="F917" s="11"/>
      <c r="G917" s="90"/>
      <c r="H917" s="89"/>
      <c r="I917" s="91"/>
    </row>
    <row r="918" customFormat="false" ht="12.75" hidden="false" customHeight="true" outlineLevel="0" collapsed="false">
      <c r="C918" s="88"/>
      <c r="D918" s="89"/>
      <c r="E918" s="71"/>
      <c r="F918" s="11"/>
      <c r="G918" s="90"/>
      <c r="H918" s="89"/>
      <c r="I918" s="91"/>
    </row>
    <row r="919" customFormat="false" ht="12.75" hidden="false" customHeight="true" outlineLevel="0" collapsed="false">
      <c r="C919" s="88"/>
      <c r="D919" s="89"/>
      <c r="E919" s="71"/>
      <c r="F919" s="11"/>
      <c r="G919" s="90"/>
      <c r="H919" s="89"/>
      <c r="I919" s="91"/>
    </row>
    <row r="920" customFormat="false" ht="12.75" hidden="false" customHeight="true" outlineLevel="0" collapsed="false">
      <c r="C920" s="88"/>
      <c r="D920" s="89"/>
      <c r="E920" s="71"/>
      <c r="F920" s="11"/>
      <c r="G920" s="90"/>
      <c r="H920" s="89"/>
      <c r="I920" s="91"/>
    </row>
    <row r="921" customFormat="false" ht="12.75" hidden="false" customHeight="true" outlineLevel="0" collapsed="false">
      <c r="C921" s="88"/>
      <c r="D921" s="89"/>
      <c r="E921" s="71"/>
      <c r="F921" s="11"/>
      <c r="G921" s="90"/>
      <c r="H921" s="89"/>
      <c r="I921" s="91"/>
    </row>
    <row r="922" customFormat="false" ht="12.75" hidden="false" customHeight="true" outlineLevel="0" collapsed="false">
      <c r="C922" s="88"/>
      <c r="D922" s="89"/>
      <c r="E922" s="71"/>
      <c r="F922" s="11"/>
      <c r="G922" s="90"/>
      <c r="H922" s="89"/>
      <c r="I922" s="91"/>
    </row>
    <row r="923" customFormat="false" ht="12.75" hidden="false" customHeight="true" outlineLevel="0" collapsed="false">
      <c r="C923" s="88"/>
      <c r="D923" s="89"/>
      <c r="E923" s="71"/>
      <c r="F923" s="11"/>
      <c r="G923" s="90"/>
      <c r="H923" s="89"/>
      <c r="I923" s="91"/>
    </row>
    <row r="924" customFormat="false" ht="12.75" hidden="false" customHeight="true" outlineLevel="0" collapsed="false">
      <c r="C924" s="88"/>
      <c r="D924" s="89"/>
      <c r="E924" s="71"/>
      <c r="F924" s="11"/>
      <c r="G924" s="90"/>
      <c r="H924" s="89"/>
      <c r="I924" s="91"/>
    </row>
    <row r="925" customFormat="false" ht="12.75" hidden="false" customHeight="true" outlineLevel="0" collapsed="false">
      <c r="C925" s="88"/>
      <c r="D925" s="89"/>
      <c r="E925" s="71"/>
      <c r="F925" s="11"/>
      <c r="G925" s="90"/>
      <c r="H925" s="89"/>
      <c r="I925" s="91"/>
    </row>
    <row r="926" customFormat="false" ht="12.75" hidden="false" customHeight="true" outlineLevel="0" collapsed="false">
      <c r="C926" s="88"/>
      <c r="D926" s="89"/>
      <c r="E926" s="71"/>
      <c r="F926" s="11"/>
      <c r="G926" s="90"/>
      <c r="H926" s="89"/>
      <c r="I926" s="91"/>
    </row>
    <row r="927" customFormat="false" ht="12.75" hidden="false" customHeight="true" outlineLevel="0" collapsed="false">
      <c r="C927" s="88"/>
      <c r="D927" s="89"/>
      <c r="E927" s="71"/>
      <c r="F927" s="11"/>
      <c r="G927" s="90"/>
      <c r="H927" s="89"/>
      <c r="I927" s="91"/>
    </row>
    <row r="928" customFormat="false" ht="12.75" hidden="false" customHeight="true" outlineLevel="0" collapsed="false">
      <c r="C928" s="88"/>
      <c r="D928" s="89"/>
      <c r="E928" s="71"/>
      <c r="F928" s="11"/>
      <c r="G928" s="90"/>
      <c r="H928" s="89"/>
      <c r="I928" s="91"/>
    </row>
    <row r="929" customFormat="false" ht="12.75" hidden="false" customHeight="true" outlineLevel="0" collapsed="false">
      <c r="C929" s="88"/>
      <c r="D929" s="89"/>
      <c r="E929" s="71"/>
      <c r="F929" s="11"/>
      <c r="G929" s="90"/>
      <c r="H929" s="89"/>
      <c r="I929" s="91"/>
    </row>
    <row r="930" customFormat="false" ht="12.75" hidden="false" customHeight="true" outlineLevel="0" collapsed="false">
      <c r="C930" s="88"/>
      <c r="D930" s="89"/>
      <c r="E930" s="71"/>
      <c r="F930" s="11"/>
      <c r="G930" s="90"/>
      <c r="H930" s="89"/>
      <c r="I930" s="91"/>
    </row>
    <row r="931" customFormat="false" ht="12.75" hidden="false" customHeight="true" outlineLevel="0" collapsed="false">
      <c r="C931" s="88"/>
      <c r="D931" s="89"/>
      <c r="E931" s="71"/>
      <c r="F931" s="11"/>
      <c r="G931" s="90"/>
      <c r="H931" s="89"/>
      <c r="I931" s="91"/>
    </row>
    <row r="932" customFormat="false" ht="12.75" hidden="false" customHeight="true" outlineLevel="0" collapsed="false">
      <c r="C932" s="88"/>
      <c r="D932" s="89"/>
      <c r="E932" s="71"/>
      <c r="F932" s="11"/>
      <c r="G932" s="90"/>
      <c r="H932" s="89"/>
      <c r="I932" s="91"/>
    </row>
    <row r="933" customFormat="false" ht="12.75" hidden="false" customHeight="true" outlineLevel="0" collapsed="false">
      <c r="C933" s="88"/>
      <c r="D933" s="89"/>
      <c r="E933" s="71"/>
      <c r="F933" s="11"/>
      <c r="G933" s="90"/>
      <c r="H933" s="89"/>
      <c r="I933" s="91"/>
    </row>
    <row r="934" customFormat="false" ht="12.75" hidden="false" customHeight="true" outlineLevel="0" collapsed="false">
      <c r="C934" s="88"/>
      <c r="D934" s="89"/>
      <c r="E934" s="71"/>
      <c r="F934" s="11"/>
      <c r="G934" s="90"/>
      <c r="H934" s="89"/>
      <c r="I934" s="91"/>
    </row>
    <row r="935" customFormat="false" ht="12.75" hidden="false" customHeight="true" outlineLevel="0" collapsed="false">
      <c r="C935" s="88"/>
      <c r="D935" s="89"/>
      <c r="E935" s="71"/>
      <c r="F935" s="11"/>
      <c r="G935" s="90"/>
      <c r="H935" s="89"/>
      <c r="I935" s="91"/>
    </row>
    <row r="936" customFormat="false" ht="12.75" hidden="false" customHeight="true" outlineLevel="0" collapsed="false">
      <c r="C936" s="88"/>
      <c r="D936" s="89"/>
      <c r="E936" s="71"/>
      <c r="F936" s="11"/>
      <c r="G936" s="90"/>
      <c r="H936" s="89"/>
      <c r="I936" s="91"/>
    </row>
    <row r="937" customFormat="false" ht="12.75" hidden="false" customHeight="true" outlineLevel="0" collapsed="false">
      <c r="C937" s="88"/>
      <c r="D937" s="89"/>
      <c r="E937" s="71"/>
      <c r="F937" s="11"/>
      <c r="G937" s="90"/>
      <c r="H937" s="89"/>
      <c r="I937" s="91"/>
    </row>
    <row r="938" customFormat="false" ht="12.75" hidden="false" customHeight="true" outlineLevel="0" collapsed="false">
      <c r="C938" s="88"/>
      <c r="D938" s="89"/>
      <c r="E938" s="71"/>
      <c r="F938" s="11"/>
      <c r="G938" s="90"/>
      <c r="H938" s="89"/>
      <c r="I938" s="91"/>
    </row>
    <row r="939" customFormat="false" ht="12.75" hidden="false" customHeight="true" outlineLevel="0" collapsed="false">
      <c r="C939" s="88"/>
      <c r="D939" s="89"/>
      <c r="E939" s="71"/>
      <c r="F939" s="11"/>
      <c r="G939" s="90"/>
      <c r="H939" s="89"/>
      <c r="I939" s="91"/>
    </row>
    <row r="940" customFormat="false" ht="12.75" hidden="false" customHeight="true" outlineLevel="0" collapsed="false">
      <c r="C940" s="88"/>
      <c r="D940" s="89"/>
      <c r="E940" s="71"/>
      <c r="F940" s="11"/>
      <c r="G940" s="90"/>
      <c r="H940" s="89"/>
      <c r="I940" s="91"/>
    </row>
    <row r="941" customFormat="false" ht="12.75" hidden="false" customHeight="true" outlineLevel="0" collapsed="false">
      <c r="C941" s="88"/>
      <c r="D941" s="89"/>
      <c r="E941" s="71"/>
      <c r="F941" s="11"/>
      <c r="G941" s="90"/>
      <c r="H941" s="89"/>
      <c r="I941" s="91"/>
    </row>
    <row r="942" customFormat="false" ht="12.75" hidden="false" customHeight="true" outlineLevel="0" collapsed="false">
      <c r="C942" s="88"/>
      <c r="D942" s="89"/>
      <c r="E942" s="71"/>
      <c r="F942" s="11"/>
      <c r="G942" s="90"/>
      <c r="H942" s="89"/>
      <c r="I942" s="91"/>
    </row>
    <row r="943" customFormat="false" ht="12.75" hidden="false" customHeight="true" outlineLevel="0" collapsed="false">
      <c r="C943" s="88"/>
      <c r="D943" s="89"/>
      <c r="E943" s="71"/>
      <c r="F943" s="11"/>
      <c r="G943" s="90"/>
      <c r="H943" s="89"/>
      <c r="I943" s="91"/>
    </row>
    <row r="944" customFormat="false" ht="12.75" hidden="false" customHeight="true" outlineLevel="0" collapsed="false">
      <c r="C944" s="88"/>
      <c r="D944" s="89"/>
      <c r="E944" s="71"/>
      <c r="F944" s="11"/>
      <c r="G944" s="90"/>
      <c r="H944" s="89"/>
      <c r="I944" s="91"/>
    </row>
    <row r="945" customFormat="false" ht="12.75" hidden="false" customHeight="true" outlineLevel="0" collapsed="false">
      <c r="C945" s="88"/>
      <c r="D945" s="89"/>
      <c r="E945" s="71"/>
      <c r="F945" s="11"/>
      <c r="G945" s="90"/>
      <c r="H945" s="89"/>
      <c r="I945" s="91"/>
    </row>
    <row r="946" customFormat="false" ht="12.75" hidden="false" customHeight="true" outlineLevel="0" collapsed="false">
      <c r="C946" s="88"/>
      <c r="D946" s="89"/>
      <c r="E946" s="71"/>
      <c r="F946" s="11"/>
      <c r="G946" s="90"/>
      <c r="H946" s="89"/>
      <c r="I946" s="91"/>
    </row>
    <row r="947" customFormat="false" ht="12.75" hidden="false" customHeight="true" outlineLevel="0" collapsed="false">
      <c r="C947" s="88"/>
      <c r="D947" s="89"/>
      <c r="E947" s="71"/>
      <c r="F947" s="11"/>
      <c r="G947" s="90"/>
      <c r="H947" s="89"/>
      <c r="I947" s="91"/>
    </row>
    <row r="948" customFormat="false" ht="12.75" hidden="false" customHeight="true" outlineLevel="0" collapsed="false">
      <c r="C948" s="88"/>
      <c r="D948" s="89"/>
      <c r="E948" s="71"/>
      <c r="F948" s="11"/>
      <c r="G948" s="90"/>
      <c r="H948" s="89"/>
      <c r="I948" s="91"/>
    </row>
    <row r="949" customFormat="false" ht="12.75" hidden="false" customHeight="true" outlineLevel="0" collapsed="false">
      <c r="C949" s="88"/>
      <c r="D949" s="89"/>
      <c r="E949" s="71"/>
      <c r="F949" s="11"/>
      <c r="G949" s="90"/>
      <c r="H949" s="89"/>
      <c r="I949" s="91"/>
    </row>
    <row r="950" customFormat="false" ht="12.75" hidden="false" customHeight="true" outlineLevel="0" collapsed="false">
      <c r="C950" s="88"/>
      <c r="D950" s="89"/>
      <c r="E950" s="71"/>
      <c r="F950" s="11"/>
      <c r="G950" s="90"/>
      <c r="H950" s="89"/>
      <c r="I950" s="91"/>
    </row>
    <row r="951" customFormat="false" ht="12.75" hidden="false" customHeight="true" outlineLevel="0" collapsed="false">
      <c r="C951" s="88"/>
      <c r="D951" s="89"/>
      <c r="E951" s="71"/>
      <c r="F951" s="11"/>
      <c r="G951" s="90"/>
      <c r="H951" s="89"/>
      <c r="I951" s="91"/>
    </row>
    <row r="952" customFormat="false" ht="12.75" hidden="false" customHeight="true" outlineLevel="0" collapsed="false">
      <c r="C952" s="88"/>
      <c r="D952" s="89"/>
      <c r="E952" s="71"/>
      <c r="F952" s="11"/>
      <c r="G952" s="90"/>
      <c r="H952" s="89"/>
      <c r="I952" s="91"/>
    </row>
    <row r="953" customFormat="false" ht="12.75" hidden="false" customHeight="true" outlineLevel="0" collapsed="false">
      <c r="C953" s="88"/>
      <c r="D953" s="89"/>
      <c r="E953" s="71"/>
      <c r="F953" s="11"/>
      <c r="G953" s="90"/>
      <c r="H953" s="89"/>
      <c r="I953" s="91"/>
    </row>
    <row r="954" customFormat="false" ht="12.75" hidden="false" customHeight="true" outlineLevel="0" collapsed="false">
      <c r="C954" s="88"/>
      <c r="D954" s="89"/>
      <c r="E954" s="71"/>
      <c r="F954" s="11"/>
      <c r="G954" s="90"/>
      <c r="H954" s="89"/>
      <c r="I954" s="91"/>
    </row>
    <row r="955" customFormat="false" ht="12.75" hidden="false" customHeight="true" outlineLevel="0" collapsed="false">
      <c r="C955" s="88"/>
      <c r="D955" s="89"/>
      <c r="E955" s="71"/>
      <c r="F955" s="11"/>
      <c r="G955" s="90"/>
      <c r="H955" s="89"/>
      <c r="I955" s="91"/>
    </row>
    <row r="956" customFormat="false" ht="12.75" hidden="false" customHeight="true" outlineLevel="0" collapsed="false">
      <c r="C956" s="88"/>
      <c r="D956" s="89"/>
      <c r="E956" s="71"/>
      <c r="F956" s="11"/>
      <c r="G956" s="90"/>
      <c r="H956" s="89"/>
      <c r="I956" s="91"/>
    </row>
    <row r="957" customFormat="false" ht="12.75" hidden="false" customHeight="true" outlineLevel="0" collapsed="false">
      <c r="C957" s="88"/>
      <c r="D957" s="89"/>
      <c r="E957" s="71"/>
      <c r="F957" s="11"/>
      <c r="G957" s="90"/>
      <c r="H957" s="89"/>
      <c r="I957" s="91"/>
    </row>
    <row r="958" customFormat="false" ht="12.75" hidden="false" customHeight="true" outlineLevel="0" collapsed="false">
      <c r="C958" s="88"/>
      <c r="D958" s="89"/>
      <c r="E958" s="71"/>
      <c r="F958" s="11"/>
      <c r="G958" s="90"/>
      <c r="H958" s="89"/>
      <c r="I958" s="91"/>
    </row>
    <row r="959" customFormat="false" ht="12.75" hidden="false" customHeight="true" outlineLevel="0" collapsed="false">
      <c r="C959" s="88"/>
      <c r="D959" s="89"/>
      <c r="E959" s="71"/>
      <c r="F959" s="11"/>
      <c r="G959" s="90"/>
      <c r="H959" s="89"/>
      <c r="I959" s="91"/>
    </row>
    <row r="960" customFormat="false" ht="12.75" hidden="false" customHeight="true" outlineLevel="0" collapsed="false">
      <c r="C960" s="88"/>
      <c r="D960" s="89"/>
      <c r="E960" s="71"/>
      <c r="F960" s="11"/>
      <c r="G960" s="90"/>
      <c r="H960" s="89"/>
      <c r="I960" s="91"/>
    </row>
    <row r="961" customFormat="false" ht="12.75" hidden="false" customHeight="true" outlineLevel="0" collapsed="false">
      <c r="C961" s="88"/>
      <c r="D961" s="89"/>
      <c r="E961" s="71"/>
      <c r="F961" s="11"/>
      <c r="G961" s="90"/>
      <c r="H961" s="89"/>
      <c r="I961" s="91"/>
    </row>
    <row r="962" customFormat="false" ht="12.75" hidden="false" customHeight="true" outlineLevel="0" collapsed="false">
      <c r="C962" s="88"/>
      <c r="D962" s="89"/>
      <c r="E962" s="71"/>
      <c r="F962" s="11"/>
      <c r="G962" s="90"/>
      <c r="H962" s="89"/>
      <c r="I962" s="91"/>
    </row>
    <row r="963" customFormat="false" ht="12.75" hidden="false" customHeight="true" outlineLevel="0" collapsed="false">
      <c r="C963" s="88"/>
      <c r="D963" s="89"/>
      <c r="E963" s="71"/>
      <c r="F963" s="11"/>
      <c r="G963" s="90"/>
      <c r="H963" s="89"/>
      <c r="I963" s="91"/>
    </row>
    <row r="964" customFormat="false" ht="12.75" hidden="false" customHeight="true" outlineLevel="0" collapsed="false">
      <c r="C964" s="88"/>
      <c r="D964" s="89"/>
      <c r="E964" s="71"/>
      <c r="F964" s="11"/>
      <c r="G964" s="90"/>
      <c r="H964" s="89"/>
      <c r="I964" s="91"/>
    </row>
    <row r="965" customFormat="false" ht="12.75" hidden="false" customHeight="true" outlineLevel="0" collapsed="false">
      <c r="C965" s="88"/>
      <c r="D965" s="89"/>
      <c r="E965" s="71"/>
      <c r="F965" s="11"/>
      <c r="G965" s="90"/>
      <c r="H965" s="89"/>
      <c r="I965" s="91"/>
    </row>
    <row r="966" customFormat="false" ht="12.75" hidden="false" customHeight="true" outlineLevel="0" collapsed="false">
      <c r="C966" s="88"/>
      <c r="D966" s="89"/>
      <c r="E966" s="71"/>
      <c r="F966" s="11"/>
      <c r="G966" s="90"/>
      <c r="H966" s="89"/>
      <c r="I966" s="91"/>
    </row>
    <row r="967" customFormat="false" ht="12.75" hidden="false" customHeight="true" outlineLevel="0" collapsed="false">
      <c r="C967" s="88"/>
      <c r="D967" s="89"/>
      <c r="E967" s="71"/>
      <c r="F967" s="11"/>
      <c r="G967" s="90"/>
      <c r="H967" s="89"/>
      <c r="I967" s="91"/>
    </row>
    <row r="968" customFormat="false" ht="12.75" hidden="false" customHeight="true" outlineLevel="0" collapsed="false">
      <c r="C968" s="88"/>
      <c r="D968" s="89"/>
      <c r="E968" s="71"/>
      <c r="F968" s="11"/>
      <c r="G968" s="90"/>
      <c r="H968" s="89"/>
      <c r="I968" s="91"/>
    </row>
    <row r="969" customFormat="false" ht="12.75" hidden="false" customHeight="true" outlineLevel="0" collapsed="false">
      <c r="C969" s="88"/>
      <c r="D969" s="89"/>
      <c r="E969" s="71"/>
      <c r="F969" s="11"/>
      <c r="G969" s="90"/>
      <c r="H969" s="89"/>
      <c r="I969" s="91"/>
    </row>
    <row r="970" customFormat="false" ht="12.75" hidden="false" customHeight="true" outlineLevel="0" collapsed="false">
      <c r="C970" s="88"/>
      <c r="D970" s="89"/>
      <c r="E970" s="71"/>
      <c r="F970" s="11"/>
      <c r="G970" s="90"/>
      <c r="H970" s="89"/>
      <c r="I970" s="91"/>
    </row>
    <row r="971" customFormat="false" ht="12.75" hidden="false" customHeight="true" outlineLevel="0" collapsed="false">
      <c r="C971" s="88"/>
      <c r="D971" s="89"/>
      <c r="E971" s="71"/>
      <c r="F971" s="11"/>
      <c r="G971" s="90"/>
      <c r="H971" s="89"/>
      <c r="I971" s="91"/>
    </row>
    <row r="972" customFormat="false" ht="12.75" hidden="false" customHeight="true" outlineLevel="0" collapsed="false">
      <c r="C972" s="88"/>
      <c r="D972" s="89"/>
      <c r="E972" s="71"/>
      <c r="F972" s="11"/>
      <c r="G972" s="90"/>
      <c r="H972" s="89"/>
      <c r="I972" s="91"/>
    </row>
    <row r="973" customFormat="false" ht="12.75" hidden="false" customHeight="true" outlineLevel="0" collapsed="false">
      <c r="C973" s="88"/>
      <c r="D973" s="89"/>
      <c r="E973" s="71"/>
      <c r="F973" s="11"/>
      <c r="G973" s="90"/>
      <c r="H973" s="89"/>
      <c r="I973" s="91"/>
    </row>
    <row r="974" customFormat="false" ht="12.75" hidden="false" customHeight="true" outlineLevel="0" collapsed="false">
      <c r="C974" s="88"/>
      <c r="D974" s="89"/>
      <c r="E974" s="71"/>
      <c r="F974" s="11"/>
      <c r="G974" s="90"/>
      <c r="H974" s="89"/>
      <c r="I974" s="91"/>
    </row>
    <row r="975" customFormat="false" ht="12.75" hidden="false" customHeight="true" outlineLevel="0" collapsed="false">
      <c r="C975" s="88"/>
      <c r="D975" s="89"/>
      <c r="E975" s="71"/>
      <c r="F975" s="11"/>
      <c r="G975" s="90"/>
      <c r="H975" s="89"/>
      <c r="I975" s="91"/>
    </row>
    <row r="976" customFormat="false" ht="12.75" hidden="false" customHeight="true" outlineLevel="0" collapsed="false">
      <c r="C976" s="88"/>
      <c r="D976" s="89"/>
      <c r="E976" s="71"/>
      <c r="F976" s="11"/>
      <c r="G976" s="90"/>
      <c r="H976" s="89"/>
      <c r="I976" s="91"/>
    </row>
    <row r="977" customFormat="false" ht="12.75" hidden="false" customHeight="true" outlineLevel="0" collapsed="false">
      <c r="C977" s="88"/>
      <c r="D977" s="89"/>
      <c r="E977" s="71"/>
      <c r="F977" s="11"/>
      <c r="G977" s="90"/>
      <c r="H977" s="89"/>
      <c r="I977" s="91"/>
    </row>
    <row r="978" customFormat="false" ht="12.75" hidden="false" customHeight="true" outlineLevel="0" collapsed="false">
      <c r="C978" s="88"/>
      <c r="D978" s="89"/>
      <c r="E978" s="71"/>
      <c r="F978" s="11"/>
      <c r="G978" s="90"/>
      <c r="H978" s="89"/>
      <c r="I978" s="91"/>
    </row>
    <row r="979" customFormat="false" ht="12.75" hidden="false" customHeight="true" outlineLevel="0" collapsed="false">
      <c r="C979" s="88"/>
      <c r="D979" s="89"/>
      <c r="E979" s="71"/>
      <c r="F979" s="11"/>
      <c r="G979" s="90"/>
      <c r="H979" s="89"/>
      <c r="I979" s="91"/>
    </row>
    <row r="980" customFormat="false" ht="12.75" hidden="false" customHeight="true" outlineLevel="0" collapsed="false">
      <c r="C980" s="88"/>
      <c r="D980" s="89"/>
      <c r="E980" s="71"/>
      <c r="F980" s="11"/>
      <c r="G980" s="90"/>
      <c r="H980" s="89"/>
      <c r="I980" s="91"/>
    </row>
    <row r="981" customFormat="false" ht="12.75" hidden="false" customHeight="true" outlineLevel="0" collapsed="false">
      <c r="C981" s="88"/>
      <c r="D981" s="89"/>
      <c r="E981" s="71"/>
      <c r="F981" s="11"/>
      <c r="G981" s="90"/>
      <c r="H981" s="89"/>
      <c r="I981" s="91"/>
    </row>
    <row r="982" customFormat="false" ht="12.75" hidden="false" customHeight="true" outlineLevel="0" collapsed="false">
      <c r="C982" s="88"/>
      <c r="D982" s="89"/>
      <c r="E982" s="71"/>
      <c r="F982" s="11"/>
      <c r="G982" s="90"/>
      <c r="H982" s="89"/>
      <c r="I982" s="91"/>
    </row>
    <row r="983" customFormat="false" ht="12.75" hidden="false" customHeight="true" outlineLevel="0" collapsed="false">
      <c r="C983" s="88"/>
      <c r="D983" s="89"/>
      <c r="E983" s="71"/>
      <c r="F983" s="11"/>
      <c r="G983" s="90"/>
      <c r="H983" s="89"/>
      <c r="I983" s="91"/>
    </row>
    <row r="984" customFormat="false" ht="12.75" hidden="false" customHeight="true" outlineLevel="0" collapsed="false">
      <c r="C984" s="88"/>
      <c r="D984" s="89"/>
      <c r="E984" s="71"/>
      <c r="F984" s="11"/>
      <c r="G984" s="90"/>
      <c r="H984" s="89"/>
      <c r="I984" s="91"/>
    </row>
    <row r="985" customFormat="false" ht="12.75" hidden="false" customHeight="true" outlineLevel="0" collapsed="false">
      <c r="C985" s="88"/>
      <c r="D985" s="89"/>
      <c r="E985" s="71"/>
      <c r="F985" s="11"/>
      <c r="G985" s="90"/>
      <c r="H985" s="89"/>
      <c r="I985" s="91"/>
    </row>
    <row r="986" customFormat="false" ht="12.75" hidden="false" customHeight="true" outlineLevel="0" collapsed="false">
      <c r="C986" s="88"/>
      <c r="D986" s="89"/>
      <c r="E986" s="71"/>
      <c r="F986" s="11"/>
      <c r="G986" s="90"/>
      <c r="H986" s="89"/>
      <c r="I986" s="91"/>
    </row>
    <row r="987" customFormat="false" ht="12.75" hidden="false" customHeight="true" outlineLevel="0" collapsed="false">
      <c r="C987" s="88"/>
      <c r="D987" s="89"/>
      <c r="E987" s="71"/>
      <c r="F987" s="11"/>
      <c r="G987" s="90"/>
      <c r="H987" s="89"/>
      <c r="I987" s="91"/>
    </row>
    <row r="988" customFormat="false" ht="12.75" hidden="false" customHeight="true" outlineLevel="0" collapsed="false">
      <c r="C988" s="88"/>
      <c r="D988" s="89"/>
      <c r="E988" s="71"/>
      <c r="F988" s="11"/>
      <c r="G988" s="90"/>
      <c r="H988" s="89"/>
      <c r="I988" s="91"/>
    </row>
    <row r="989" customFormat="false" ht="12.75" hidden="false" customHeight="true" outlineLevel="0" collapsed="false">
      <c r="C989" s="88"/>
      <c r="D989" s="89"/>
      <c r="E989" s="71"/>
      <c r="F989" s="11"/>
      <c r="G989" s="90"/>
      <c r="H989" s="89"/>
      <c r="I989" s="91"/>
    </row>
    <row r="990" customFormat="false" ht="12.75" hidden="false" customHeight="true" outlineLevel="0" collapsed="false">
      <c r="C990" s="88"/>
      <c r="D990" s="89"/>
      <c r="E990" s="71"/>
      <c r="F990" s="11"/>
      <c r="G990" s="90"/>
      <c r="H990" s="89"/>
      <c r="I990" s="91"/>
    </row>
    <row r="991" customFormat="false" ht="12.75" hidden="false" customHeight="true" outlineLevel="0" collapsed="false">
      <c r="C991" s="88"/>
      <c r="D991" s="89"/>
      <c r="E991" s="71"/>
      <c r="F991" s="11"/>
      <c r="G991" s="90"/>
      <c r="H991" s="89"/>
      <c r="I991" s="91"/>
    </row>
    <row r="992" customFormat="false" ht="12.75" hidden="false" customHeight="true" outlineLevel="0" collapsed="false">
      <c r="C992" s="88"/>
      <c r="D992" s="89"/>
      <c r="E992" s="71"/>
      <c r="F992" s="11"/>
      <c r="G992" s="90"/>
      <c r="H992" s="89"/>
      <c r="I992" s="91"/>
    </row>
    <row r="993" customFormat="false" ht="12.75" hidden="false" customHeight="true" outlineLevel="0" collapsed="false">
      <c r="C993" s="88"/>
      <c r="D993" s="89"/>
      <c r="E993" s="71"/>
      <c r="F993" s="11"/>
      <c r="G993" s="90"/>
      <c r="H993" s="89"/>
      <c r="I993" s="91"/>
    </row>
    <row r="994" customFormat="false" ht="12.75" hidden="false" customHeight="true" outlineLevel="0" collapsed="false">
      <c r="C994" s="88"/>
      <c r="D994" s="89"/>
      <c r="E994" s="71"/>
      <c r="F994" s="11"/>
      <c r="G994" s="90"/>
      <c r="H994" s="89"/>
      <c r="I994" s="91"/>
    </row>
    <row r="995" customFormat="false" ht="12.75" hidden="false" customHeight="true" outlineLevel="0" collapsed="false">
      <c r="C995" s="88"/>
      <c r="D995" s="89"/>
      <c r="E995" s="71"/>
      <c r="F995" s="11"/>
      <c r="G995" s="90"/>
      <c r="H995" s="89"/>
      <c r="I995" s="91"/>
    </row>
    <row r="996" customFormat="false" ht="12.75" hidden="false" customHeight="true" outlineLevel="0" collapsed="false">
      <c r="C996" s="88"/>
      <c r="D996" s="89"/>
      <c r="E996" s="71"/>
      <c r="F996" s="11"/>
      <c r="G996" s="90"/>
      <c r="H996" s="89"/>
      <c r="I996" s="91"/>
    </row>
    <row r="997" customFormat="false" ht="12.75" hidden="false" customHeight="true" outlineLevel="0" collapsed="false">
      <c r="C997" s="88"/>
      <c r="D997" s="89"/>
      <c r="E997" s="71"/>
      <c r="F997" s="11"/>
      <c r="G997" s="90"/>
      <c r="H997" s="89"/>
      <c r="I997" s="91"/>
    </row>
    <row r="998" customFormat="false" ht="12.75" hidden="false" customHeight="true" outlineLevel="0" collapsed="false">
      <c r="C998" s="88"/>
      <c r="D998" s="89"/>
      <c r="E998" s="71"/>
      <c r="F998" s="11"/>
      <c r="G998" s="90"/>
      <c r="H998" s="89"/>
      <c r="I998" s="91"/>
    </row>
    <row r="999" customFormat="false" ht="12.75" hidden="false" customHeight="true" outlineLevel="0" collapsed="false">
      <c r="C999" s="88"/>
      <c r="D999" s="89"/>
      <c r="E999" s="71"/>
      <c r="F999" s="11"/>
      <c r="G999" s="90"/>
      <c r="H999" s="89"/>
      <c r="I999" s="91"/>
    </row>
    <row r="1000" customFormat="false" ht="12.75" hidden="false" customHeight="true" outlineLevel="0" collapsed="false">
      <c r="C1000" s="88"/>
      <c r="D1000" s="89"/>
      <c r="E1000" s="71"/>
      <c r="F1000" s="11"/>
      <c r="G1000" s="90"/>
      <c r="H1000" s="89"/>
      <c r="I1000" s="91"/>
    </row>
    <row r="1001" customFormat="false" ht="12.75" hidden="false" customHeight="true" outlineLevel="0" collapsed="false">
      <c r="C1001" s="88"/>
      <c r="D1001" s="89"/>
      <c r="E1001" s="71"/>
      <c r="F1001" s="11"/>
      <c r="G1001" s="90"/>
      <c r="H1001" s="89"/>
      <c r="I1001" s="91"/>
    </row>
    <row r="1002" customFormat="false" ht="12.75" hidden="false" customHeight="true" outlineLevel="0" collapsed="false">
      <c r="C1002" s="88"/>
      <c r="D1002" s="89"/>
      <c r="E1002" s="71"/>
      <c r="F1002" s="11"/>
      <c r="G1002" s="90"/>
      <c r="H1002" s="89"/>
      <c r="I1002" s="91"/>
    </row>
    <row r="1003" customFormat="false" ht="12.75" hidden="false" customHeight="true" outlineLevel="0" collapsed="false">
      <c r="C1003" s="88"/>
      <c r="D1003" s="89"/>
      <c r="E1003" s="71"/>
      <c r="F1003" s="11"/>
      <c r="G1003" s="90"/>
      <c r="H1003" s="89"/>
      <c r="I1003" s="91"/>
    </row>
    <row r="1004" customFormat="false" ht="12.75" hidden="false" customHeight="true" outlineLevel="0" collapsed="false">
      <c r="C1004" s="88"/>
      <c r="D1004" s="89"/>
      <c r="E1004" s="71"/>
      <c r="F1004" s="11"/>
      <c r="G1004" s="90"/>
      <c r="H1004" s="89"/>
      <c r="I1004" s="91"/>
    </row>
    <row r="1005" customFormat="false" ht="12.75" hidden="false" customHeight="true" outlineLevel="0" collapsed="false">
      <c r="C1005" s="88"/>
      <c r="D1005" s="89"/>
      <c r="E1005" s="71"/>
      <c r="F1005" s="11"/>
      <c r="G1005" s="90"/>
      <c r="H1005" s="89"/>
      <c r="I1005" s="91"/>
    </row>
    <row r="1006" customFormat="false" ht="12.75" hidden="false" customHeight="true" outlineLevel="0" collapsed="false">
      <c r="C1006" s="88"/>
      <c r="D1006" s="89"/>
      <c r="E1006" s="71"/>
      <c r="F1006" s="11"/>
      <c r="G1006" s="90"/>
      <c r="H1006" s="89"/>
      <c r="I1006" s="91"/>
    </row>
    <row r="1007" customFormat="false" ht="12.75" hidden="false" customHeight="true" outlineLevel="0" collapsed="false">
      <c r="C1007" s="88"/>
      <c r="D1007" s="89"/>
      <c r="E1007" s="71"/>
      <c r="F1007" s="11"/>
      <c r="G1007" s="90"/>
      <c r="H1007" s="89"/>
      <c r="I1007" s="91"/>
    </row>
    <row r="1008" customFormat="false" ht="12.75" hidden="false" customHeight="true" outlineLevel="0" collapsed="false">
      <c r="C1008" s="88"/>
      <c r="D1008" s="89"/>
      <c r="E1008" s="71"/>
      <c r="F1008" s="11"/>
      <c r="G1008" s="90"/>
      <c r="H1008" s="89"/>
      <c r="I1008" s="91"/>
    </row>
    <row r="1009" customFormat="false" ht="12.75" hidden="false" customHeight="true" outlineLevel="0" collapsed="false">
      <c r="C1009" s="88"/>
      <c r="D1009" s="89"/>
      <c r="E1009" s="71"/>
      <c r="F1009" s="11"/>
      <c r="G1009" s="90"/>
      <c r="H1009" s="89"/>
      <c r="I1009" s="91"/>
    </row>
    <row r="1010" customFormat="false" ht="12.75" hidden="false" customHeight="true" outlineLevel="0" collapsed="false">
      <c r="C1010" s="88"/>
      <c r="D1010" s="89"/>
      <c r="E1010" s="71"/>
      <c r="F1010" s="11"/>
      <c r="G1010" s="90"/>
      <c r="H1010" s="89"/>
      <c r="I1010" s="91"/>
    </row>
    <row r="1011" customFormat="false" ht="12.75" hidden="false" customHeight="true" outlineLevel="0" collapsed="false">
      <c r="C1011" s="88"/>
      <c r="D1011" s="89"/>
      <c r="E1011" s="71"/>
      <c r="F1011" s="11"/>
      <c r="G1011" s="90"/>
      <c r="H1011" s="89"/>
      <c r="I1011" s="91"/>
    </row>
    <row r="1012" customFormat="false" ht="12.75" hidden="false" customHeight="true" outlineLevel="0" collapsed="false">
      <c r="C1012" s="88"/>
      <c r="D1012" s="89"/>
      <c r="E1012" s="71"/>
      <c r="F1012" s="11"/>
      <c r="G1012" s="90"/>
      <c r="H1012" s="89"/>
      <c r="I1012" s="91"/>
    </row>
    <row r="1013" customFormat="false" ht="12.75" hidden="false" customHeight="true" outlineLevel="0" collapsed="false">
      <c r="C1013" s="88"/>
      <c r="D1013" s="89"/>
      <c r="E1013" s="71"/>
      <c r="F1013" s="11"/>
      <c r="G1013" s="90"/>
      <c r="H1013" s="89"/>
      <c r="I1013" s="91"/>
    </row>
    <row r="1014" customFormat="false" ht="12.75" hidden="false" customHeight="true" outlineLevel="0" collapsed="false">
      <c r="C1014" s="88"/>
      <c r="D1014" s="89"/>
      <c r="E1014" s="71"/>
      <c r="F1014" s="11"/>
      <c r="G1014" s="90"/>
      <c r="H1014" s="89"/>
      <c r="I1014" s="91"/>
    </row>
    <row r="1015" customFormat="false" ht="12.75" hidden="false" customHeight="true" outlineLevel="0" collapsed="false">
      <c r="C1015" s="88"/>
      <c r="D1015" s="89"/>
      <c r="E1015" s="71"/>
      <c r="F1015" s="11"/>
      <c r="G1015" s="90"/>
      <c r="H1015" s="89"/>
      <c r="I1015" s="91"/>
    </row>
    <row r="1016" customFormat="false" ht="12.75" hidden="false" customHeight="true" outlineLevel="0" collapsed="false">
      <c r="C1016" s="88"/>
      <c r="D1016" s="89"/>
      <c r="E1016" s="71"/>
      <c r="F1016" s="11"/>
      <c r="G1016" s="90"/>
      <c r="H1016" s="89"/>
      <c r="I1016" s="91"/>
    </row>
    <row r="1017" customFormat="false" ht="12.75" hidden="false" customHeight="true" outlineLevel="0" collapsed="false">
      <c r="C1017" s="88"/>
      <c r="D1017" s="89"/>
      <c r="E1017" s="71"/>
      <c r="F1017" s="11"/>
      <c r="G1017" s="90"/>
      <c r="H1017" s="89"/>
      <c r="I1017" s="91"/>
    </row>
    <row r="1018" customFormat="false" ht="12.75" hidden="false" customHeight="true" outlineLevel="0" collapsed="false">
      <c r="C1018" s="88"/>
      <c r="D1018" s="89"/>
      <c r="E1018" s="71"/>
      <c r="F1018" s="11"/>
      <c r="G1018" s="90"/>
      <c r="H1018" s="89"/>
      <c r="I1018" s="91"/>
    </row>
    <row r="1019" customFormat="false" ht="12.75" hidden="false" customHeight="true" outlineLevel="0" collapsed="false">
      <c r="C1019" s="88"/>
      <c r="D1019" s="89"/>
      <c r="E1019" s="71"/>
      <c r="F1019" s="11"/>
      <c r="G1019" s="90"/>
      <c r="H1019" s="89"/>
      <c r="I1019" s="91"/>
    </row>
    <row r="1020" customFormat="false" ht="12.75" hidden="false" customHeight="true" outlineLevel="0" collapsed="false">
      <c r="C1020" s="88"/>
      <c r="D1020" s="89"/>
      <c r="E1020" s="71"/>
      <c r="F1020" s="11"/>
      <c r="G1020" s="90"/>
      <c r="H1020" s="89"/>
      <c r="I1020" s="91"/>
    </row>
    <row r="1021" customFormat="false" ht="12.75" hidden="false" customHeight="true" outlineLevel="0" collapsed="false">
      <c r="C1021" s="88"/>
      <c r="D1021" s="89"/>
      <c r="E1021" s="71"/>
      <c r="F1021" s="11"/>
      <c r="G1021" s="90"/>
      <c r="H1021" s="89"/>
      <c r="I1021" s="91"/>
    </row>
    <row r="1022" customFormat="false" ht="12.75" hidden="false" customHeight="true" outlineLevel="0" collapsed="false">
      <c r="C1022" s="88"/>
      <c r="D1022" s="89"/>
      <c r="E1022" s="71"/>
      <c r="F1022" s="11"/>
      <c r="G1022" s="90"/>
      <c r="H1022" s="89"/>
      <c r="I1022" s="91"/>
    </row>
    <row r="1023" customFormat="false" ht="12.75" hidden="false" customHeight="true" outlineLevel="0" collapsed="false">
      <c r="C1023" s="88"/>
      <c r="D1023" s="89"/>
      <c r="E1023" s="71"/>
      <c r="F1023" s="11"/>
      <c r="G1023" s="90"/>
      <c r="H1023" s="89"/>
      <c r="I1023" s="91"/>
    </row>
    <row r="1024" customFormat="false" ht="12.75" hidden="false" customHeight="true" outlineLevel="0" collapsed="false">
      <c r="C1024" s="88"/>
      <c r="D1024" s="89"/>
      <c r="E1024" s="71"/>
      <c r="F1024" s="11"/>
      <c r="G1024" s="90"/>
      <c r="H1024" s="89"/>
      <c r="I1024" s="91"/>
    </row>
    <row r="1025" customFormat="false" ht="12.75" hidden="false" customHeight="true" outlineLevel="0" collapsed="false">
      <c r="C1025" s="88"/>
      <c r="D1025" s="89"/>
      <c r="E1025" s="71"/>
      <c r="F1025" s="11"/>
      <c r="G1025" s="90"/>
      <c r="H1025" s="89"/>
      <c r="I1025" s="91"/>
    </row>
    <row r="1026" customFormat="false" ht="12.75" hidden="false" customHeight="true" outlineLevel="0" collapsed="false">
      <c r="C1026" s="88"/>
      <c r="D1026" s="89"/>
      <c r="E1026" s="71"/>
      <c r="F1026" s="11"/>
      <c r="G1026" s="90"/>
      <c r="H1026" s="89"/>
      <c r="I1026" s="91"/>
    </row>
    <row r="1027" customFormat="false" ht="12.75" hidden="false" customHeight="true" outlineLevel="0" collapsed="false">
      <c r="C1027" s="88"/>
      <c r="D1027" s="89"/>
      <c r="E1027" s="71"/>
      <c r="F1027" s="11"/>
      <c r="G1027" s="90"/>
      <c r="H1027" s="89"/>
      <c r="I1027" s="91"/>
    </row>
    <row r="1028" customFormat="false" ht="12.75" hidden="false" customHeight="true" outlineLevel="0" collapsed="false">
      <c r="C1028" s="88"/>
      <c r="D1028" s="89"/>
      <c r="E1028" s="71"/>
      <c r="F1028" s="11"/>
      <c r="G1028" s="90"/>
      <c r="H1028" s="89"/>
      <c r="I1028" s="91"/>
    </row>
    <row r="1029" customFormat="false" ht="12.75" hidden="false" customHeight="true" outlineLevel="0" collapsed="false">
      <c r="C1029" s="88"/>
      <c r="D1029" s="89"/>
      <c r="E1029" s="71"/>
      <c r="F1029" s="11"/>
      <c r="G1029" s="90"/>
      <c r="H1029" s="89"/>
      <c r="I1029" s="91"/>
    </row>
    <row r="1030" customFormat="false" ht="12.75" hidden="false" customHeight="true" outlineLevel="0" collapsed="false">
      <c r="C1030" s="88"/>
      <c r="D1030" s="89"/>
      <c r="E1030" s="71"/>
      <c r="F1030" s="11"/>
      <c r="G1030" s="90"/>
      <c r="H1030" s="89"/>
      <c r="I1030" s="91"/>
    </row>
    <row r="1031" customFormat="false" ht="12.75" hidden="false" customHeight="true" outlineLevel="0" collapsed="false">
      <c r="C1031" s="88"/>
      <c r="D1031" s="89"/>
      <c r="E1031" s="71"/>
      <c r="F1031" s="11"/>
      <c r="G1031" s="90"/>
      <c r="H1031" s="89"/>
      <c r="I1031" s="91"/>
    </row>
    <row r="1032" customFormat="false" ht="12.75" hidden="false" customHeight="true" outlineLevel="0" collapsed="false">
      <c r="C1032" s="88"/>
      <c r="D1032" s="89"/>
      <c r="E1032" s="71"/>
      <c r="F1032" s="11"/>
      <c r="G1032" s="90"/>
      <c r="H1032" s="89"/>
      <c r="I1032" s="91"/>
    </row>
    <row r="1033" customFormat="false" ht="12.75" hidden="false" customHeight="true" outlineLevel="0" collapsed="false">
      <c r="C1033" s="88"/>
      <c r="D1033" s="89"/>
      <c r="E1033" s="71"/>
      <c r="F1033" s="11"/>
      <c r="G1033" s="90"/>
      <c r="H1033" s="89"/>
      <c r="I1033" s="91"/>
    </row>
    <row r="1034" customFormat="false" ht="12.75" hidden="false" customHeight="true" outlineLevel="0" collapsed="false">
      <c r="C1034" s="88"/>
      <c r="D1034" s="89"/>
      <c r="E1034" s="71"/>
      <c r="F1034" s="11"/>
      <c r="G1034" s="90"/>
      <c r="H1034" s="89"/>
      <c r="I1034" s="91"/>
    </row>
    <row r="1035" customFormat="false" ht="12.75" hidden="false" customHeight="true" outlineLevel="0" collapsed="false">
      <c r="C1035" s="88"/>
      <c r="D1035" s="89"/>
      <c r="E1035" s="71"/>
      <c r="F1035" s="11"/>
      <c r="G1035" s="90"/>
      <c r="H1035" s="89"/>
      <c r="I1035" s="91"/>
    </row>
    <row r="1036" customFormat="false" ht="12.75" hidden="false" customHeight="true" outlineLevel="0" collapsed="false">
      <c r="C1036" s="88"/>
      <c r="D1036" s="89"/>
      <c r="E1036" s="71"/>
      <c r="F1036" s="11"/>
      <c r="G1036" s="90"/>
      <c r="H1036" s="89"/>
      <c r="I1036" s="91"/>
    </row>
    <row r="1037" customFormat="false" ht="12.75" hidden="false" customHeight="true" outlineLevel="0" collapsed="false">
      <c r="C1037" s="88"/>
      <c r="D1037" s="89"/>
      <c r="E1037" s="71"/>
      <c r="F1037" s="11"/>
      <c r="G1037" s="90"/>
      <c r="H1037" s="89"/>
      <c r="I1037" s="91"/>
    </row>
    <row r="1038" customFormat="false" ht="12.75" hidden="false" customHeight="true" outlineLevel="0" collapsed="false">
      <c r="C1038" s="88"/>
      <c r="D1038" s="89"/>
      <c r="E1038" s="71"/>
      <c r="F1038" s="11"/>
      <c r="G1038" s="90"/>
      <c r="H1038" s="89"/>
      <c r="I1038" s="91"/>
    </row>
    <row r="1039" customFormat="false" ht="12.75" hidden="false" customHeight="true" outlineLevel="0" collapsed="false">
      <c r="C1039" s="88"/>
      <c r="D1039" s="89"/>
      <c r="E1039" s="71"/>
      <c r="F1039" s="11"/>
      <c r="G1039" s="90"/>
      <c r="H1039" s="89"/>
      <c r="I1039" s="91"/>
    </row>
    <row r="1040" customFormat="false" ht="12.75" hidden="false" customHeight="true" outlineLevel="0" collapsed="false">
      <c r="C1040" s="88"/>
      <c r="D1040" s="89"/>
      <c r="E1040" s="71"/>
      <c r="F1040" s="11"/>
      <c r="G1040" s="90"/>
      <c r="H1040" s="89"/>
      <c r="I1040" s="91"/>
    </row>
    <row r="1041" customFormat="false" ht="12.75" hidden="false" customHeight="true" outlineLevel="0" collapsed="false">
      <c r="C1041" s="88"/>
      <c r="D1041" s="89"/>
      <c r="E1041" s="71"/>
      <c r="F1041" s="11"/>
      <c r="G1041" s="90"/>
      <c r="H1041" s="89"/>
      <c r="I1041" s="91"/>
    </row>
    <row r="1042" customFormat="false" ht="12.75" hidden="false" customHeight="true" outlineLevel="0" collapsed="false">
      <c r="C1042" s="88"/>
      <c r="D1042" s="89"/>
      <c r="E1042" s="71"/>
      <c r="F1042" s="11"/>
      <c r="G1042" s="90"/>
      <c r="H1042" s="89"/>
      <c r="I1042" s="91"/>
    </row>
    <row r="1043" customFormat="false" ht="12.75" hidden="false" customHeight="true" outlineLevel="0" collapsed="false">
      <c r="C1043" s="88"/>
      <c r="D1043" s="89"/>
      <c r="E1043" s="71"/>
      <c r="F1043" s="11"/>
      <c r="G1043" s="90"/>
      <c r="H1043" s="89"/>
      <c r="I1043" s="91"/>
    </row>
    <row r="1044" customFormat="false" ht="12.75" hidden="false" customHeight="true" outlineLevel="0" collapsed="false">
      <c r="C1044" s="88"/>
      <c r="D1044" s="89"/>
      <c r="E1044" s="71"/>
      <c r="F1044" s="11"/>
      <c r="G1044" s="90"/>
      <c r="H1044" s="89"/>
      <c r="I1044" s="91"/>
    </row>
    <row r="1045" customFormat="false" ht="12.75" hidden="false" customHeight="true" outlineLevel="0" collapsed="false">
      <c r="C1045" s="88"/>
      <c r="D1045" s="89"/>
      <c r="E1045" s="71"/>
      <c r="F1045" s="11"/>
      <c r="G1045" s="90"/>
      <c r="H1045" s="89"/>
      <c r="I1045" s="91"/>
    </row>
    <row r="1046" customFormat="false" ht="12.75" hidden="false" customHeight="true" outlineLevel="0" collapsed="false">
      <c r="C1046" s="88"/>
      <c r="D1046" s="89"/>
      <c r="E1046" s="71"/>
      <c r="F1046" s="11"/>
      <c r="G1046" s="90"/>
      <c r="H1046" s="89"/>
      <c r="I1046" s="91"/>
    </row>
    <row r="1047" customFormat="false" ht="12.75" hidden="false" customHeight="true" outlineLevel="0" collapsed="false">
      <c r="C1047" s="88"/>
      <c r="D1047" s="89"/>
      <c r="E1047" s="71"/>
      <c r="F1047" s="11"/>
      <c r="G1047" s="90"/>
      <c r="H1047" s="89"/>
      <c r="I1047" s="91"/>
    </row>
    <row r="1048" customFormat="false" ht="12.75" hidden="false" customHeight="true" outlineLevel="0" collapsed="false">
      <c r="C1048" s="88"/>
      <c r="D1048" s="89"/>
      <c r="E1048" s="71"/>
      <c r="F1048" s="11"/>
      <c r="G1048" s="90"/>
      <c r="H1048" s="89"/>
      <c r="I1048" s="91"/>
    </row>
    <row r="1049" customFormat="false" ht="12.75" hidden="false" customHeight="true" outlineLevel="0" collapsed="false">
      <c r="C1049" s="88"/>
      <c r="D1049" s="89"/>
      <c r="E1049" s="71"/>
      <c r="F1049" s="11"/>
      <c r="G1049" s="90"/>
      <c r="H1049" s="89"/>
      <c r="I1049" s="91"/>
    </row>
    <row r="1050" customFormat="false" ht="12.75" hidden="false" customHeight="true" outlineLevel="0" collapsed="false">
      <c r="C1050" s="88"/>
      <c r="D1050" s="89"/>
      <c r="E1050" s="71"/>
      <c r="F1050" s="11"/>
      <c r="G1050" s="90"/>
      <c r="H1050" s="89"/>
      <c r="I1050" s="91"/>
    </row>
    <row r="1051" customFormat="false" ht="12.75" hidden="false" customHeight="true" outlineLevel="0" collapsed="false">
      <c r="C1051" s="88"/>
      <c r="D1051" s="89"/>
      <c r="E1051" s="71"/>
      <c r="F1051" s="11"/>
      <c r="G1051" s="90"/>
      <c r="H1051" s="89"/>
      <c r="I1051" s="91"/>
    </row>
    <row r="1052" customFormat="false" ht="12.75" hidden="false" customHeight="true" outlineLevel="0" collapsed="false">
      <c r="C1052" s="88"/>
      <c r="D1052" s="89"/>
      <c r="E1052" s="71"/>
      <c r="F1052" s="11"/>
      <c r="G1052" s="90"/>
      <c r="H1052" s="89"/>
      <c r="I1052" s="91"/>
    </row>
    <row r="1053" customFormat="false" ht="12.75" hidden="false" customHeight="true" outlineLevel="0" collapsed="false">
      <c r="C1053" s="88"/>
      <c r="D1053" s="89"/>
      <c r="E1053" s="71"/>
      <c r="F1053" s="11"/>
      <c r="G1053" s="90"/>
      <c r="H1053" s="89"/>
      <c r="I1053" s="91"/>
    </row>
    <row r="1054" customFormat="false" ht="12.75" hidden="false" customHeight="true" outlineLevel="0" collapsed="false">
      <c r="C1054" s="88"/>
      <c r="D1054" s="89"/>
      <c r="E1054" s="71"/>
      <c r="F1054" s="11"/>
      <c r="G1054" s="90"/>
      <c r="H1054" s="89"/>
      <c r="I1054" s="91"/>
    </row>
    <row r="1055" customFormat="false" ht="12.75" hidden="false" customHeight="true" outlineLevel="0" collapsed="false">
      <c r="C1055" s="88"/>
      <c r="D1055" s="89"/>
      <c r="E1055" s="71"/>
      <c r="F1055" s="11"/>
      <c r="G1055" s="90"/>
      <c r="H1055" s="89"/>
      <c r="I1055" s="91"/>
    </row>
    <row r="1056" customFormat="false" ht="12.75" hidden="false" customHeight="true" outlineLevel="0" collapsed="false">
      <c r="C1056" s="88"/>
      <c r="D1056" s="89"/>
      <c r="E1056" s="71"/>
      <c r="F1056" s="11"/>
      <c r="G1056" s="90"/>
      <c r="H1056" s="89"/>
      <c r="I1056" s="91"/>
    </row>
    <row r="1057" customFormat="false" ht="12.75" hidden="false" customHeight="true" outlineLevel="0" collapsed="false">
      <c r="C1057" s="88"/>
      <c r="D1057" s="89"/>
      <c r="E1057" s="71"/>
      <c r="F1057" s="11"/>
      <c r="G1057" s="90"/>
      <c r="H1057" s="89"/>
      <c r="I1057" s="91"/>
    </row>
    <row r="1058" customFormat="false" ht="12.75" hidden="false" customHeight="true" outlineLevel="0" collapsed="false">
      <c r="C1058" s="88"/>
      <c r="D1058" s="89"/>
      <c r="E1058" s="71"/>
      <c r="F1058" s="11"/>
      <c r="G1058" s="90"/>
      <c r="H1058" s="89"/>
      <c r="I1058" s="91"/>
    </row>
    <row r="1059" customFormat="false" ht="12.75" hidden="false" customHeight="true" outlineLevel="0" collapsed="false">
      <c r="C1059" s="88"/>
      <c r="D1059" s="89"/>
      <c r="E1059" s="71"/>
      <c r="F1059" s="11"/>
      <c r="G1059" s="90"/>
      <c r="H1059" s="89"/>
      <c r="I1059" s="91"/>
    </row>
    <row r="1060" customFormat="false" ht="12.75" hidden="false" customHeight="true" outlineLevel="0" collapsed="false">
      <c r="C1060" s="88"/>
      <c r="D1060" s="89"/>
      <c r="E1060" s="71"/>
      <c r="F1060" s="11"/>
      <c r="G1060" s="90"/>
      <c r="H1060" s="89"/>
      <c r="I1060" s="91"/>
    </row>
    <row r="1061" customFormat="false" ht="12.75" hidden="false" customHeight="true" outlineLevel="0" collapsed="false">
      <c r="C1061" s="88"/>
      <c r="D1061" s="89"/>
      <c r="E1061" s="71"/>
      <c r="F1061" s="11"/>
      <c r="G1061" s="90"/>
      <c r="H1061" s="89"/>
      <c r="I1061" s="91"/>
    </row>
    <row r="1062" customFormat="false" ht="12.75" hidden="false" customHeight="true" outlineLevel="0" collapsed="false">
      <c r="C1062" s="88"/>
      <c r="D1062" s="89"/>
      <c r="E1062" s="71"/>
      <c r="F1062" s="11"/>
      <c r="G1062" s="90"/>
      <c r="H1062" s="89"/>
      <c r="I1062" s="91"/>
    </row>
    <row r="1063" customFormat="false" ht="12.75" hidden="false" customHeight="true" outlineLevel="0" collapsed="false">
      <c r="C1063" s="88"/>
      <c r="D1063" s="89"/>
      <c r="E1063" s="71"/>
      <c r="F1063" s="11"/>
      <c r="G1063" s="90"/>
      <c r="H1063" s="89"/>
      <c r="I1063" s="91"/>
    </row>
    <row r="1064" customFormat="false" ht="12.75" hidden="false" customHeight="true" outlineLevel="0" collapsed="false">
      <c r="C1064" s="88"/>
      <c r="D1064" s="89"/>
      <c r="E1064" s="71"/>
      <c r="F1064" s="11"/>
      <c r="G1064" s="90"/>
      <c r="H1064" s="89"/>
      <c r="I1064" s="91"/>
    </row>
    <row r="1065" customFormat="false" ht="12.75" hidden="false" customHeight="true" outlineLevel="0" collapsed="false">
      <c r="C1065" s="88"/>
      <c r="D1065" s="89"/>
      <c r="E1065" s="71"/>
      <c r="F1065" s="11"/>
      <c r="G1065" s="90"/>
      <c r="H1065" s="89"/>
      <c r="I1065" s="91"/>
    </row>
    <row r="1066" customFormat="false" ht="12.75" hidden="false" customHeight="true" outlineLevel="0" collapsed="false">
      <c r="C1066" s="88"/>
      <c r="D1066" s="89"/>
      <c r="E1066" s="71"/>
      <c r="F1066" s="11"/>
      <c r="G1066" s="90"/>
      <c r="H1066" s="89"/>
      <c r="I1066" s="91"/>
    </row>
    <row r="1067" customFormat="false" ht="12.75" hidden="false" customHeight="true" outlineLevel="0" collapsed="false">
      <c r="C1067" s="88"/>
      <c r="D1067" s="89"/>
      <c r="E1067" s="71"/>
      <c r="F1067" s="11"/>
      <c r="G1067" s="90"/>
      <c r="H1067" s="89"/>
      <c r="I1067" s="91"/>
    </row>
    <row r="1068" customFormat="false" ht="12.75" hidden="false" customHeight="true" outlineLevel="0" collapsed="false">
      <c r="C1068" s="88"/>
      <c r="D1068" s="89"/>
      <c r="E1068" s="71"/>
      <c r="F1068" s="11"/>
      <c r="G1068" s="90"/>
      <c r="H1068" s="89"/>
      <c r="I1068" s="91"/>
    </row>
    <row r="1069" customFormat="false" ht="12.75" hidden="false" customHeight="true" outlineLevel="0" collapsed="false">
      <c r="C1069" s="88"/>
      <c r="D1069" s="89"/>
      <c r="E1069" s="71"/>
      <c r="F1069" s="11"/>
      <c r="G1069" s="90"/>
      <c r="H1069" s="89"/>
      <c r="I1069" s="91"/>
    </row>
    <row r="1070" customFormat="false" ht="12.75" hidden="false" customHeight="true" outlineLevel="0" collapsed="false">
      <c r="C1070" s="88"/>
      <c r="D1070" s="89"/>
      <c r="E1070" s="71"/>
      <c r="F1070" s="11"/>
      <c r="G1070" s="90"/>
      <c r="H1070" s="89"/>
      <c r="I1070" s="91"/>
    </row>
    <row r="1071" customFormat="false" ht="12.75" hidden="false" customHeight="true" outlineLevel="0" collapsed="false">
      <c r="C1071" s="88"/>
      <c r="D1071" s="89"/>
      <c r="E1071" s="71"/>
      <c r="F1071" s="11"/>
      <c r="G1071" s="90"/>
      <c r="H1071" s="89"/>
      <c r="I1071" s="91"/>
    </row>
    <row r="1072" customFormat="false" ht="12.75" hidden="false" customHeight="true" outlineLevel="0" collapsed="false">
      <c r="C1072" s="88"/>
      <c r="D1072" s="89"/>
      <c r="E1072" s="71"/>
      <c r="F1072" s="11"/>
      <c r="G1072" s="90"/>
      <c r="H1072" s="89"/>
      <c r="I1072" s="91"/>
    </row>
    <row r="1073" customFormat="false" ht="12.75" hidden="false" customHeight="true" outlineLevel="0" collapsed="false">
      <c r="C1073" s="88"/>
      <c r="D1073" s="89"/>
      <c r="E1073" s="71"/>
      <c r="F1073" s="11"/>
      <c r="G1073" s="90"/>
      <c r="H1073" s="89"/>
      <c r="I1073" s="91"/>
    </row>
    <row r="1074" customFormat="false" ht="12.75" hidden="false" customHeight="true" outlineLevel="0" collapsed="false">
      <c r="C1074" s="88"/>
      <c r="D1074" s="89"/>
      <c r="E1074" s="71"/>
      <c r="F1074" s="11"/>
      <c r="G1074" s="90"/>
      <c r="H1074" s="89"/>
      <c r="I1074" s="91"/>
    </row>
    <row r="1075" customFormat="false" ht="12.75" hidden="false" customHeight="true" outlineLevel="0" collapsed="false">
      <c r="C1075" s="88"/>
      <c r="D1075" s="89"/>
      <c r="E1075" s="71"/>
      <c r="F1075" s="11"/>
      <c r="G1075" s="90"/>
      <c r="H1075" s="89"/>
      <c r="I1075" s="91"/>
    </row>
    <row r="1076" customFormat="false" ht="12.75" hidden="false" customHeight="true" outlineLevel="0" collapsed="false">
      <c r="C1076" s="88"/>
      <c r="D1076" s="89"/>
      <c r="E1076" s="71"/>
      <c r="F1076" s="11"/>
      <c r="G1076" s="90"/>
      <c r="H1076" s="89"/>
      <c r="I1076" s="91"/>
    </row>
    <row r="1077" customFormat="false" ht="12.75" hidden="false" customHeight="true" outlineLevel="0" collapsed="false">
      <c r="C1077" s="88"/>
      <c r="D1077" s="89"/>
      <c r="E1077" s="71"/>
      <c r="F1077" s="11"/>
      <c r="G1077" s="90"/>
      <c r="H1077" s="89"/>
      <c r="I1077" s="91"/>
    </row>
    <row r="1078" customFormat="false" ht="12.75" hidden="false" customHeight="true" outlineLevel="0" collapsed="false">
      <c r="C1078" s="88"/>
      <c r="D1078" s="89"/>
      <c r="E1078" s="71"/>
      <c r="F1078" s="11"/>
      <c r="G1078" s="90"/>
      <c r="H1078" s="89"/>
      <c r="I1078" s="91"/>
    </row>
    <row r="1079" customFormat="false" ht="12.75" hidden="false" customHeight="true" outlineLevel="0" collapsed="false">
      <c r="C1079" s="88"/>
      <c r="D1079" s="89"/>
      <c r="E1079" s="71"/>
      <c r="F1079" s="11"/>
      <c r="G1079" s="90"/>
      <c r="H1079" s="89"/>
      <c r="I1079" s="91"/>
    </row>
    <row r="1080" customFormat="false" ht="12.75" hidden="false" customHeight="true" outlineLevel="0" collapsed="false">
      <c r="C1080" s="88"/>
      <c r="D1080" s="89"/>
      <c r="E1080" s="71"/>
      <c r="F1080" s="11"/>
      <c r="G1080" s="90"/>
      <c r="H1080" s="89"/>
      <c r="I1080" s="91"/>
    </row>
    <row r="1081" customFormat="false" ht="12.75" hidden="false" customHeight="true" outlineLevel="0" collapsed="false">
      <c r="C1081" s="88"/>
      <c r="D1081" s="89"/>
      <c r="E1081" s="71"/>
      <c r="F1081" s="11"/>
      <c r="G1081" s="90"/>
      <c r="H1081" s="89"/>
      <c r="I1081" s="91"/>
    </row>
    <row r="1082" customFormat="false" ht="12.75" hidden="false" customHeight="true" outlineLevel="0" collapsed="false">
      <c r="C1082" s="88"/>
      <c r="D1082" s="89"/>
      <c r="E1082" s="71"/>
      <c r="F1082" s="11"/>
      <c r="G1082" s="90"/>
      <c r="H1082" s="89"/>
      <c r="I1082" s="91"/>
    </row>
    <row r="1083" customFormat="false" ht="12.75" hidden="false" customHeight="true" outlineLevel="0" collapsed="false">
      <c r="C1083" s="88"/>
      <c r="D1083" s="89"/>
      <c r="E1083" s="71"/>
      <c r="F1083" s="11"/>
      <c r="G1083" s="90"/>
      <c r="H1083" s="89"/>
      <c r="I1083" s="91"/>
    </row>
    <row r="1084" customFormat="false" ht="12.75" hidden="false" customHeight="true" outlineLevel="0" collapsed="false">
      <c r="C1084" s="88"/>
      <c r="D1084" s="89"/>
      <c r="E1084" s="71"/>
      <c r="F1084" s="11"/>
      <c r="G1084" s="90"/>
      <c r="H1084" s="89"/>
      <c r="I1084" s="91"/>
    </row>
    <row r="1085" customFormat="false" ht="12.75" hidden="false" customHeight="true" outlineLevel="0" collapsed="false">
      <c r="C1085" s="88"/>
      <c r="D1085" s="89"/>
      <c r="E1085" s="71"/>
      <c r="F1085" s="11"/>
      <c r="G1085" s="90"/>
      <c r="H1085" s="89"/>
      <c r="I1085" s="91"/>
    </row>
    <row r="1086" customFormat="false" ht="12.75" hidden="false" customHeight="true" outlineLevel="0" collapsed="false">
      <c r="C1086" s="88"/>
      <c r="D1086" s="89"/>
      <c r="E1086" s="71"/>
      <c r="F1086" s="11"/>
      <c r="G1086" s="90"/>
      <c r="H1086" s="89"/>
      <c r="I1086" s="91"/>
    </row>
    <row r="1087" customFormat="false" ht="12.75" hidden="false" customHeight="true" outlineLevel="0" collapsed="false">
      <c r="C1087" s="88"/>
      <c r="D1087" s="89"/>
      <c r="E1087" s="71"/>
      <c r="F1087" s="11"/>
      <c r="G1087" s="90"/>
      <c r="H1087" s="89"/>
      <c r="I1087" s="91"/>
    </row>
    <row r="1088" customFormat="false" ht="12.75" hidden="false" customHeight="true" outlineLevel="0" collapsed="false">
      <c r="C1088" s="88"/>
      <c r="D1088" s="89"/>
      <c r="E1088" s="71"/>
      <c r="F1088" s="11"/>
      <c r="G1088" s="90"/>
      <c r="H1088" s="89"/>
      <c r="I1088" s="91"/>
    </row>
    <row r="1089" customFormat="false" ht="12.75" hidden="false" customHeight="true" outlineLevel="0" collapsed="false">
      <c r="C1089" s="88"/>
      <c r="D1089" s="89"/>
      <c r="E1089" s="71"/>
      <c r="F1089" s="11"/>
      <c r="G1089" s="90"/>
      <c r="H1089" s="89"/>
      <c r="I1089" s="91"/>
    </row>
    <row r="1090" customFormat="false" ht="12.75" hidden="false" customHeight="true" outlineLevel="0" collapsed="false">
      <c r="C1090" s="88"/>
      <c r="D1090" s="89"/>
      <c r="E1090" s="71"/>
      <c r="F1090" s="11"/>
      <c r="G1090" s="90"/>
      <c r="H1090" s="89"/>
      <c r="I1090" s="91"/>
    </row>
    <row r="1091" customFormat="false" ht="12.75" hidden="false" customHeight="true" outlineLevel="0" collapsed="false">
      <c r="C1091" s="88"/>
      <c r="D1091" s="89"/>
      <c r="E1091" s="71"/>
      <c r="F1091" s="11"/>
      <c r="G1091" s="90"/>
      <c r="H1091" s="89"/>
      <c r="I1091" s="91"/>
    </row>
    <row r="1092" customFormat="false" ht="12.75" hidden="false" customHeight="true" outlineLevel="0" collapsed="false">
      <c r="C1092" s="88"/>
      <c r="D1092" s="89"/>
      <c r="E1092" s="71"/>
      <c r="F1092" s="11"/>
      <c r="G1092" s="90"/>
      <c r="H1092" s="89"/>
      <c r="I1092" s="91"/>
    </row>
    <row r="1093" customFormat="false" ht="12.75" hidden="false" customHeight="true" outlineLevel="0" collapsed="false">
      <c r="C1093" s="88"/>
      <c r="D1093" s="89"/>
      <c r="E1093" s="71"/>
      <c r="F1093" s="11"/>
      <c r="G1093" s="90"/>
      <c r="H1093" s="89"/>
      <c r="I1093" s="91"/>
    </row>
    <row r="1094" customFormat="false" ht="12.75" hidden="false" customHeight="true" outlineLevel="0" collapsed="false">
      <c r="C1094" s="88"/>
      <c r="D1094" s="89"/>
      <c r="E1094" s="71"/>
      <c r="F1094" s="11"/>
      <c r="G1094" s="90"/>
      <c r="H1094" s="89"/>
      <c r="I1094" s="91"/>
    </row>
    <row r="1095" customFormat="false" ht="12.75" hidden="false" customHeight="true" outlineLevel="0" collapsed="false">
      <c r="C1095" s="88"/>
      <c r="D1095" s="89"/>
      <c r="E1095" s="71"/>
      <c r="F1095" s="11"/>
      <c r="G1095" s="90"/>
      <c r="H1095" s="89"/>
      <c r="I1095" s="91"/>
    </row>
    <row r="1096" customFormat="false" ht="12.75" hidden="false" customHeight="true" outlineLevel="0" collapsed="false">
      <c r="C1096" s="88"/>
      <c r="D1096" s="89"/>
      <c r="E1096" s="71"/>
      <c r="F1096" s="11"/>
      <c r="G1096" s="90"/>
      <c r="H1096" s="89"/>
      <c r="I1096" s="91"/>
    </row>
    <row r="1097" customFormat="false" ht="12.75" hidden="false" customHeight="true" outlineLevel="0" collapsed="false">
      <c r="C1097" s="88"/>
      <c r="D1097" s="89"/>
      <c r="E1097" s="71"/>
      <c r="F1097" s="11"/>
      <c r="G1097" s="90"/>
      <c r="H1097" s="89"/>
      <c r="I1097" s="91"/>
    </row>
    <row r="1098" customFormat="false" ht="12.75" hidden="false" customHeight="true" outlineLevel="0" collapsed="false">
      <c r="C1098" s="88"/>
      <c r="D1098" s="89"/>
      <c r="E1098" s="71"/>
      <c r="F1098" s="11"/>
      <c r="G1098" s="90"/>
      <c r="H1098" s="89"/>
      <c r="I1098" s="91"/>
    </row>
    <row r="1099" customFormat="false" ht="12.75" hidden="false" customHeight="true" outlineLevel="0" collapsed="false">
      <c r="C1099" s="88"/>
      <c r="D1099" s="89"/>
      <c r="E1099" s="71"/>
      <c r="F1099" s="11"/>
      <c r="G1099" s="90"/>
      <c r="H1099" s="89"/>
      <c r="I1099" s="91"/>
    </row>
    <row r="1100" customFormat="false" ht="12.75" hidden="false" customHeight="true" outlineLevel="0" collapsed="false">
      <c r="C1100" s="88"/>
      <c r="D1100" s="89"/>
      <c r="E1100" s="71"/>
      <c r="F1100" s="11"/>
      <c r="G1100" s="90"/>
      <c r="H1100" s="89"/>
      <c r="I1100" s="91"/>
    </row>
    <row r="1101" customFormat="false" ht="12.75" hidden="false" customHeight="true" outlineLevel="0" collapsed="false">
      <c r="C1101" s="88"/>
      <c r="D1101" s="89"/>
      <c r="E1101" s="71"/>
      <c r="F1101" s="11"/>
      <c r="G1101" s="90"/>
      <c r="H1101" s="89"/>
      <c r="I1101" s="91"/>
    </row>
    <row r="1102" customFormat="false" ht="12.75" hidden="false" customHeight="true" outlineLevel="0" collapsed="false">
      <c r="C1102" s="88"/>
      <c r="D1102" s="89"/>
      <c r="E1102" s="71"/>
      <c r="F1102" s="11"/>
      <c r="G1102" s="90"/>
      <c r="H1102" s="89"/>
      <c r="I1102" s="91"/>
    </row>
    <row r="1103" customFormat="false" ht="12.75" hidden="false" customHeight="true" outlineLevel="0" collapsed="false">
      <c r="C1103" s="88"/>
      <c r="D1103" s="89"/>
      <c r="E1103" s="71"/>
      <c r="F1103" s="11"/>
      <c r="G1103" s="90"/>
      <c r="H1103" s="89"/>
      <c r="I1103" s="91"/>
    </row>
    <row r="1104" customFormat="false" ht="12.75" hidden="false" customHeight="true" outlineLevel="0" collapsed="false">
      <c r="C1104" s="88"/>
      <c r="D1104" s="89"/>
      <c r="E1104" s="71"/>
      <c r="F1104" s="11"/>
      <c r="G1104" s="90"/>
      <c r="H1104" s="89"/>
      <c r="I1104" s="91"/>
    </row>
    <row r="1105" customFormat="false" ht="12.75" hidden="false" customHeight="true" outlineLevel="0" collapsed="false">
      <c r="C1105" s="88"/>
      <c r="D1105" s="89"/>
      <c r="E1105" s="71"/>
      <c r="F1105" s="11"/>
      <c r="G1105" s="90"/>
      <c r="H1105" s="89"/>
      <c r="I1105" s="91"/>
    </row>
    <row r="1106" customFormat="false" ht="12.75" hidden="false" customHeight="true" outlineLevel="0" collapsed="false">
      <c r="C1106" s="88"/>
      <c r="D1106" s="89"/>
      <c r="E1106" s="71"/>
      <c r="F1106" s="11"/>
      <c r="G1106" s="90"/>
      <c r="H1106" s="89"/>
      <c r="I1106" s="91"/>
    </row>
    <row r="1107" customFormat="false" ht="12.75" hidden="false" customHeight="true" outlineLevel="0" collapsed="false">
      <c r="C1107" s="88"/>
      <c r="D1107" s="89"/>
      <c r="E1107" s="71"/>
      <c r="F1107" s="11"/>
      <c r="G1107" s="90"/>
      <c r="H1107" s="89"/>
      <c r="I1107" s="91"/>
    </row>
    <row r="1108" customFormat="false" ht="12.75" hidden="false" customHeight="true" outlineLevel="0" collapsed="false">
      <c r="C1108" s="88"/>
      <c r="D1108" s="89"/>
      <c r="E1108" s="71"/>
      <c r="F1108" s="11"/>
      <c r="G1108" s="90"/>
      <c r="H1108" s="89"/>
      <c r="I1108" s="91"/>
    </row>
    <row r="1109" customFormat="false" ht="12.75" hidden="false" customHeight="true" outlineLevel="0" collapsed="false">
      <c r="C1109" s="88"/>
      <c r="D1109" s="89"/>
      <c r="E1109" s="71"/>
      <c r="F1109" s="11"/>
      <c r="G1109" s="90"/>
      <c r="H1109" s="89"/>
      <c r="I1109" s="91"/>
    </row>
    <row r="1110" customFormat="false" ht="12.75" hidden="false" customHeight="true" outlineLevel="0" collapsed="false">
      <c r="C1110" s="88"/>
      <c r="D1110" s="89"/>
      <c r="E1110" s="71"/>
      <c r="F1110" s="11"/>
      <c r="G1110" s="90"/>
      <c r="H1110" s="89"/>
      <c r="I1110" s="91"/>
    </row>
    <row r="1111" customFormat="false" ht="12.75" hidden="false" customHeight="true" outlineLevel="0" collapsed="false">
      <c r="C1111" s="88"/>
      <c r="D1111" s="89"/>
      <c r="E1111" s="71"/>
      <c r="F1111" s="11"/>
      <c r="G1111" s="90"/>
      <c r="H1111" s="89"/>
      <c r="I1111" s="91"/>
    </row>
    <row r="1112" customFormat="false" ht="12.75" hidden="false" customHeight="true" outlineLevel="0" collapsed="false">
      <c r="C1112" s="88"/>
      <c r="D1112" s="89"/>
      <c r="E1112" s="71"/>
      <c r="F1112" s="11"/>
      <c r="G1112" s="90"/>
      <c r="H1112" s="89"/>
      <c r="I1112" s="91"/>
    </row>
    <row r="1113" customFormat="false" ht="12.75" hidden="false" customHeight="true" outlineLevel="0" collapsed="false">
      <c r="C1113" s="88"/>
      <c r="D1113" s="89"/>
      <c r="E1113" s="71"/>
      <c r="F1113" s="11"/>
      <c r="G1113" s="90"/>
      <c r="H1113" s="89"/>
      <c r="I1113" s="91"/>
    </row>
    <row r="1114" customFormat="false" ht="12.75" hidden="false" customHeight="true" outlineLevel="0" collapsed="false">
      <c r="C1114" s="88"/>
      <c r="D1114" s="89"/>
      <c r="E1114" s="71"/>
      <c r="F1114" s="11"/>
      <c r="G1114" s="90"/>
      <c r="H1114" s="89"/>
      <c r="I1114" s="91"/>
    </row>
    <row r="1115" customFormat="false" ht="12.75" hidden="false" customHeight="true" outlineLevel="0" collapsed="false">
      <c r="C1115" s="88"/>
      <c r="D1115" s="89"/>
      <c r="E1115" s="71"/>
      <c r="F1115" s="11"/>
      <c r="G1115" s="90"/>
      <c r="H1115" s="89"/>
      <c r="I1115" s="91"/>
    </row>
    <row r="1116" customFormat="false" ht="12.75" hidden="false" customHeight="true" outlineLevel="0" collapsed="false">
      <c r="C1116" s="88"/>
      <c r="D1116" s="89"/>
      <c r="E1116" s="71"/>
      <c r="F1116" s="11"/>
      <c r="G1116" s="90"/>
      <c r="H1116" s="89"/>
      <c r="I1116" s="91"/>
    </row>
    <row r="1117" customFormat="false" ht="12.75" hidden="false" customHeight="true" outlineLevel="0" collapsed="false">
      <c r="C1117" s="88"/>
      <c r="D1117" s="89"/>
      <c r="E1117" s="71"/>
      <c r="F1117" s="11"/>
      <c r="G1117" s="90"/>
      <c r="H1117" s="89"/>
      <c r="I1117" s="91"/>
    </row>
    <row r="1118" customFormat="false" ht="12.75" hidden="false" customHeight="true" outlineLevel="0" collapsed="false">
      <c r="C1118" s="88"/>
      <c r="D1118" s="89"/>
      <c r="E1118" s="71"/>
      <c r="F1118" s="11"/>
      <c r="G1118" s="90"/>
      <c r="H1118" s="89"/>
      <c r="I1118" s="91"/>
    </row>
    <row r="1119" customFormat="false" ht="12.75" hidden="false" customHeight="true" outlineLevel="0" collapsed="false">
      <c r="C1119" s="88"/>
      <c r="D1119" s="89"/>
      <c r="E1119" s="71"/>
      <c r="F1119" s="11"/>
      <c r="G1119" s="90"/>
      <c r="H1119" s="89"/>
      <c r="I1119" s="91"/>
    </row>
    <row r="1120" customFormat="false" ht="12.75" hidden="false" customHeight="true" outlineLevel="0" collapsed="false">
      <c r="C1120" s="88"/>
      <c r="D1120" s="89"/>
      <c r="E1120" s="71"/>
      <c r="F1120" s="11"/>
      <c r="G1120" s="90"/>
      <c r="H1120" s="89"/>
      <c r="I1120" s="91"/>
    </row>
    <row r="1121" customFormat="false" ht="12.75" hidden="false" customHeight="true" outlineLevel="0" collapsed="false">
      <c r="C1121" s="88"/>
      <c r="D1121" s="89"/>
      <c r="E1121" s="71"/>
      <c r="F1121" s="11"/>
      <c r="G1121" s="90"/>
      <c r="H1121" s="89"/>
      <c r="I1121" s="91"/>
    </row>
    <row r="1122" customFormat="false" ht="12.75" hidden="false" customHeight="true" outlineLevel="0" collapsed="false">
      <c r="C1122" s="88"/>
      <c r="D1122" s="89"/>
      <c r="E1122" s="71"/>
      <c r="F1122" s="11"/>
      <c r="G1122" s="90"/>
      <c r="H1122" s="89"/>
      <c r="I1122" s="91"/>
    </row>
    <row r="1123" customFormat="false" ht="12.75" hidden="false" customHeight="true" outlineLevel="0" collapsed="false">
      <c r="C1123" s="88"/>
      <c r="D1123" s="89"/>
      <c r="E1123" s="71"/>
      <c r="F1123" s="11"/>
      <c r="G1123" s="90"/>
      <c r="H1123" s="89"/>
      <c r="I1123" s="91"/>
    </row>
    <row r="1124" customFormat="false" ht="12.75" hidden="false" customHeight="true" outlineLevel="0" collapsed="false">
      <c r="C1124" s="88"/>
      <c r="D1124" s="89"/>
      <c r="E1124" s="71"/>
      <c r="F1124" s="11"/>
      <c r="G1124" s="90"/>
      <c r="H1124" s="89"/>
      <c r="I1124" s="91"/>
    </row>
    <row r="1125" customFormat="false" ht="12.75" hidden="false" customHeight="true" outlineLevel="0" collapsed="false">
      <c r="C1125" s="88"/>
      <c r="D1125" s="89"/>
      <c r="E1125" s="71"/>
      <c r="F1125" s="11"/>
      <c r="G1125" s="90"/>
      <c r="H1125" s="89"/>
      <c r="I1125" s="91"/>
    </row>
    <row r="1126" customFormat="false" ht="12.75" hidden="false" customHeight="true" outlineLevel="0" collapsed="false">
      <c r="C1126" s="88"/>
      <c r="D1126" s="89"/>
      <c r="E1126" s="71"/>
      <c r="F1126" s="11"/>
      <c r="G1126" s="90"/>
      <c r="H1126" s="89"/>
      <c r="I1126" s="91"/>
    </row>
    <row r="1127" customFormat="false" ht="12.75" hidden="false" customHeight="true" outlineLevel="0" collapsed="false">
      <c r="C1127" s="88"/>
      <c r="D1127" s="89"/>
      <c r="E1127" s="71"/>
      <c r="F1127" s="11"/>
      <c r="G1127" s="90"/>
      <c r="H1127" s="89"/>
      <c r="I1127" s="91"/>
    </row>
    <row r="1128" customFormat="false" ht="12.75" hidden="false" customHeight="true" outlineLevel="0" collapsed="false">
      <c r="C1128" s="88"/>
      <c r="D1128" s="89"/>
      <c r="E1128" s="71"/>
      <c r="F1128" s="11"/>
      <c r="G1128" s="90"/>
      <c r="H1128" s="89"/>
      <c r="I1128" s="91"/>
    </row>
    <row r="1129" customFormat="false" ht="12.75" hidden="false" customHeight="true" outlineLevel="0" collapsed="false">
      <c r="C1129" s="88"/>
      <c r="D1129" s="89"/>
      <c r="E1129" s="71"/>
      <c r="F1129" s="11"/>
      <c r="G1129" s="90"/>
      <c r="H1129" s="89"/>
      <c r="I1129" s="91"/>
    </row>
    <row r="1130" customFormat="false" ht="12.75" hidden="false" customHeight="true" outlineLevel="0" collapsed="false">
      <c r="C1130" s="88"/>
      <c r="D1130" s="89"/>
      <c r="E1130" s="71"/>
      <c r="F1130" s="11"/>
      <c r="G1130" s="90"/>
      <c r="H1130" s="89"/>
      <c r="I1130" s="91"/>
    </row>
    <row r="1131" customFormat="false" ht="12.75" hidden="false" customHeight="true" outlineLevel="0" collapsed="false">
      <c r="C1131" s="88"/>
      <c r="D1131" s="89"/>
      <c r="E1131" s="71"/>
      <c r="F1131" s="11"/>
      <c r="G1131" s="90"/>
      <c r="H1131" s="89"/>
      <c r="I1131" s="91"/>
    </row>
    <row r="1132" customFormat="false" ht="12.75" hidden="false" customHeight="true" outlineLevel="0" collapsed="false">
      <c r="C1132" s="88"/>
      <c r="D1132" s="89"/>
      <c r="E1132" s="71"/>
      <c r="F1132" s="11"/>
      <c r="G1132" s="90"/>
      <c r="H1132" s="89"/>
      <c r="I1132" s="91"/>
    </row>
    <row r="1133" customFormat="false" ht="12.75" hidden="false" customHeight="true" outlineLevel="0" collapsed="false">
      <c r="C1133" s="88"/>
      <c r="D1133" s="89"/>
      <c r="E1133" s="71"/>
      <c r="F1133" s="11"/>
      <c r="G1133" s="90"/>
      <c r="H1133" s="89"/>
      <c r="I1133" s="91"/>
    </row>
    <row r="1134" customFormat="false" ht="12.75" hidden="false" customHeight="true" outlineLevel="0" collapsed="false">
      <c r="C1134" s="88"/>
      <c r="D1134" s="89"/>
      <c r="E1134" s="71"/>
      <c r="F1134" s="11"/>
      <c r="G1134" s="90"/>
      <c r="H1134" s="89"/>
      <c r="I1134" s="91"/>
    </row>
    <row r="1135" customFormat="false" ht="12.75" hidden="false" customHeight="true" outlineLevel="0" collapsed="false">
      <c r="C1135" s="88"/>
      <c r="D1135" s="89"/>
      <c r="E1135" s="71"/>
      <c r="F1135" s="11"/>
      <c r="G1135" s="90"/>
      <c r="H1135" s="89"/>
      <c r="I1135" s="91"/>
    </row>
    <row r="1136" customFormat="false" ht="12.75" hidden="false" customHeight="true" outlineLevel="0" collapsed="false">
      <c r="C1136" s="88"/>
      <c r="D1136" s="89"/>
      <c r="E1136" s="71"/>
      <c r="F1136" s="11"/>
      <c r="G1136" s="90"/>
      <c r="H1136" s="89"/>
      <c r="I1136" s="91"/>
    </row>
    <row r="1137" customFormat="false" ht="12.75" hidden="false" customHeight="true" outlineLevel="0" collapsed="false">
      <c r="C1137" s="88"/>
      <c r="D1137" s="89"/>
      <c r="E1137" s="71"/>
      <c r="F1137" s="11"/>
      <c r="G1137" s="90"/>
      <c r="H1137" s="89"/>
      <c r="I1137" s="91"/>
    </row>
    <row r="1138" customFormat="false" ht="12.75" hidden="false" customHeight="true" outlineLevel="0" collapsed="false">
      <c r="C1138" s="88"/>
      <c r="D1138" s="89"/>
      <c r="E1138" s="71"/>
      <c r="F1138" s="11"/>
      <c r="G1138" s="90"/>
      <c r="H1138" s="89"/>
      <c r="I1138" s="91"/>
    </row>
    <row r="1139" customFormat="false" ht="12.75" hidden="false" customHeight="true" outlineLevel="0" collapsed="false">
      <c r="C1139" s="88"/>
      <c r="D1139" s="89"/>
      <c r="E1139" s="71"/>
      <c r="F1139" s="11"/>
      <c r="G1139" s="90"/>
      <c r="H1139" s="89"/>
      <c r="I1139" s="91"/>
    </row>
    <row r="1140" customFormat="false" ht="12.75" hidden="false" customHeight="true" outlineLevel="0" collapsed="false">
      <c r="C1140" s="88"/>
      <c r="D1140" s="89"/>
      <c r="E1140" s="71"/>
      <c r="F1140" s="11"/>
      <c r="G1140" s="90"/>
      <c r="H1140" s="89"/>
      <c r="I1140" s="91"/>
    </row>
    <row r="1141" customFormat="false" ht="12.75" hidden="false" customHeight="true" outlineLevel="0" collapsed="false">
      <c r="C1141" s="88"/>
      <c r="D1141" s="89"/>
      <c r="E1141" s="71"/>
      <c r="F1141" s="11"/>
      <c r="G1141" s="90"/>
      <c r="H1141" s="89"/>
      <c r="I1141" s="91"/>
    </row>
    <row r="1142" customFormat="false" ht="12.75" hidden="false" customHeight="true" outlineLevel="0" collapsed="false">
      <c r="C1142" s="88"/>
      <c r="D1142" s="89"/>
      <c r="E1142" s="71"/>
      <c r="F1142" s="11"/>
      <c r="G1142" s="90"/>
      <c r="H1142" s="89"/>
      <c r="I1142" s="91"/>
    </row>
    <row r="1143" customFormat="false" ht="12.75" hidden="false" customHeight="true" outlineLevel="0" collapsed="false">
      <c r="C1143" s="88"/>
      <c r="D1143" s="89"/>
      <c r="E1143" s="71"/>
      <c r="F1143" s="11"/>
      <c r="G1143" s="90"/>
      <c r="H1143" s="89"/>
      <c r="I1143" s="91"/>
    </row>
    <row r="1144" customFormat="false" ht="12.75" hidden="false" customHeight="true" outlineLevel="0" collapsed="false">
      <c r="C1144" s="88"/>
      <c r="D1144" s="89"/>
      <c r="E1144" s="71"/>
      <c r="F1144" s="11"/>
      <c r="G1144" s="90"/>
      <c r="H1144" s="89"/>
      <c r="I1144" s="91"/>
    </row>
    <row r="1145" customFormat="false" ht="12.75" hidden="false" customHeight="true" outlineLevel="0" collapsed="false">
      <c r="C1145" s="88"/>
      <c r="D1145" s="89"/>
      <c r="E1145" s="71"/>
      <c r="F1145" s="11"/>
      <c r="G1145" s="90"/>
      <c r="H1145" s="89"/>
      <c r="I1145" s="91"/>
    </row>
    <row r="1146" customFormat="false" ht="12.75" hidden="false" customHeight="true" outlineLevel="0" collapsed="false">
      <c r="C1146" s="88"/>
      <c r="D1146" s="89"/>
      <c r="E1146" s="71"/>
      <c r="F1146" s="11"/>
      <c r="G1146" s="90"/>
      <c r="H1146" s="89"/>
      <c r="I1146" s="91"/>
    </row>
    <row r="1147" customFormat="false" ht="12.75" hidden="false" customHeight="true" outlineLevel="0" collapsed="false">
      <c r="C1147" s="88"/>
      <c r="D1147" s="89"/>
      <c r="E1147" s="71"/>
      <c r="F1147" s="11"/>
      <c r="G1147" s="90"/>
      <c r="H1147" s="89"/>
      <c r="I1147" s="91"/>
    </row>
    <row r="1148" customFormat="false" ht="12.75" hidden="false" customHeight="true" outlineLevel="0" collapsed="false">
      <c r="C1148" s="88"/>
      <c r="D1148" s="89"/>
      <c r="E1148" s="71"/>
      <c r="F1148" s="11"/>
      <c r="G1148" s="90"/>
      <c r="H1148" s="89"/>
      <c r="I1148" s="91"/>
    </row>
    <row r="1149" customFormat="false" ht="12.75" hidden="false" customHeight="true" outlineLevel="0" collapsed="false">
      <c r="C1149" s="88"/>
      <c r="D1149" s="89"/>
      <c r="E1149" s="71"/>
      <c r="F1149" s="11"/>
      <c r="G1149" s="90"/>
      <c r="H1149" s="89"/>
      <c r="I1149" s="91"/>
    </row>
    <row r="1150" customFormat="false" ht="12.75" hidden="false" customHeight="true" outlineLevel="0" collapsed="false">
      <c r="C1150" s="88"/>
      <c r="D1150" s="89"/>
      <c r="E1150" s="71"/>
      <c r="F1150" s="11"/>
      <c r="G1150" s="90"/>
      <c r="H1150" s="89"/>
      <c r="I1150" s="91"/>
    </row>
    <row r="1151" customFormat="false" ht="12.75" hidden="false" customHeight="true" outlineLevel="0" collapsed="false">
      <c r="C1151" s="88"/>
      <c r="D1151" s="89"/>
      <c r="E1151" s="71"/>
      <c r="F1151" s="11"/>
      <c r="G1151" s="90"/>
      <c r="H1151" s="89"/>
      <c r="I1151" s="91"/>
    </row>
    <row r="1152" customFormat="false" ht="12.75" hidden="false" customHeight="true" outlineLevel="0" collapsed="false">
      <c r="C1152" s="88"/>
      <c r="D1152" s="89"/>
      <c r="E1152" s="71"/>
      <c r="F1152" s="11"/>
      <c r="G1152" s="90"/>
      <c r="H1152" s="89"/>
      <c r="I1152" s="91"/>
    </row>
    <row r="1153" customFormat="false" ht="12.75" hidden="false" customHeight="true" outlineLevel="0" collapsed="false">
      <c r="C1153" s="88"/>
      <c r="D1153" s="89"/>
      <c r="E1153" s="71"/>
      <c r="F1153" s="11"/>
      <c r="G1153" s="90"/>
      <c r="H1153" s="89"/>
      <c r="I1153" s="91"/>
    </row>
    <row r="1154" customFormat="false" ht="12.75" hidden="false" customHeight="true" outlineLevel="0" collapsed="false">
      <c r="C1154" s="88"/>
      <c r="D1154" s="89"/>
      <c r="E1154" s="71"/>
      <c r="F1154" s="11"/>
      <c r="G1154" s="90"/>
      <c r="H1154" s="89"/>
      <c r="I1154" s="91"/>
    </row>
    <row r="1155" customFormat="false" ht="12.75" hidden="false" customHeight="true" outlineLevel="0" collapsed="false">
      <c r="C1155" s="88"/>
      <c r="D1155" s="89"/>
      <c r="E1155" s="71"/>
      <c r="F1155" s="11"/>
      <c r="G1155" s="90"/>
      <c r="H1155" s="89"/>
      <c r="I1155" s="91"/>
    </row>
    <row r="1156" customFormat="false" ht="12.75" hidden="false" customHeight="true" outlineLevel="0" collapsed="false">
      <c r="C1156" s="88"/>
      <c r="D1156" s="89"/>
      <c r="E1156" s="71"/>
      <c r="F1156" s="11"/>
      <c r="G1156" s="90"/>
      <c r="H1156" s="89"/>
      <c r="I1156" s="91"/>
    </row>
    <row r="1157" customFormat="false" ht="12.75" hidden="false" customHeight="true" outlineLevel="0" collapsed="false">
      <c r="C1157" s="88"/>
      <c r="D1157" s="89"/>
      <c r="E1157" s="71"/>
      <c r="F1157" s="11"/>
      <c r="G1157" s="90"/>
      <c r="H1157" s="89"/>
      <c r="I1157" s="91"/>
    </row>
    <row r="1158" customFormat="false" ht="12.75" hidden="false" customHeight="true" outlineLevel="0" collapsed="false">
      <c r="C1158" s="88"/>
      <c r="D1158" s="89"/>
      <c r="E1158" s="71"/>
      <c r="F1158" s="11"/>
      <c r="G1158" s="90"/>
      <c r="H1158" s="89"/>
      <c r="I1158" s="91"/>
    </row>
    <row r="1159" customFormat="false" ht="12.75" hidden="false" customHeight="true" outlineLevel="0" collapsed="false">
      <c r="C1159" s="88"/>
      <c r="D1159" s="89"/>
      <c r="E1159" s="71"/>
      <c r="F1159" s="11"/>
      <c r="G1159" s="90"/>
      <c r="H1159" s="89"/>
      <c r="I1159" s="91"/>
    </row>
    <row r="1160" customFormat="false" ht="12.75" hidden="false" customHeight="true" outlineLevel="0" collapsed="false">
      <c r="C1160" s="88"/>
      <c r="D1160" s="89"/>
      <c r="E1160" s="71"/>
      <c r="F1160" s="11"/>
      <c r="G1160" s="90"/>
      <c r="H1160" s="89"/>
      <c r="I1160" s="91"/>
    </row>
    <row r="1161" customFormat="false" ht="12.75" hidden="false" customHeight="true" outlineLevel="0" collapsed="false">
      <c r="C1161" s="88"/>
      <c r="D1161" s="89"/>
      <c r="E1161" s="71"/>
      <c r="F1161" s="11"/>
      <c r="G1161" s="90"/>
      <c r="H1161" s="89"/>
      <c r="I1161" s="91"/>
    </row>
    <row r="1162" customFormat="false" ht="12.75" hidden="false" customHeight="true" outlineLevel="0" collapsed="false">
      <c r="C1162" s="88"/>
      <c r="D1162" s="89"/>
      <c r="E1162" s="71"/>
      <c r="F1162" s="11"/>
      <c r="G1162" s="90"/>
      <c r="H1162" s="89"/>
      <c r="I1162" s="91"/>
    </row>
    <row r="1163" customFormat="false" ht="12.75" hidden="false" customHeight="true" outlineLevel="0" collapsed="false">
      <c r="C1163" s="88"/>
      <c r="D1163" s="89"/>
      <c r="E1163" s="71"/>
      <c r="F1163" s="11"/>
      <c r="G1163" s="90"/>
      <c r="H1163" s="89"/>
      <c r="I1163" s="91"/>
    </row>
    <row r="1164" customFormat="false" ht="12.75" hidden="false" customHeight="true" outlineLevel="0" collapsed="false">
      <c r="C1164" s="88"/>
      <c r="D1164" s="89"/>
      <c r="E1164" s="71"/>
      <c r="F1164" s="11"/>
      <c r="G1164" s="90"/>
      <c r="H1164" s="89"/>
      <c r="I1164" s="91"/>
    </row>
    <row r="1165" customFormat="false" ht="12.75" hidden="false" customHeight="true" outlineLevel="0" collapsed="false">
      <c r="C1165" s="88"/>
      <c r="D1165" s="89"/>
      <c r="E1165" s="71"/>
      <c r="F1165" s="11"/>
      <c r="G1165" s="90"/>
      <c r="H1165" s="89"/>
      <c r="I1165" s="91"/>
    </row>
    <row r="1166" customFormat="false" ht="12.75" hidden="false" customHeight="true" outlineLevel="0" collapsed="false">
      <c r="C1166" s="88"/>
      <c r="D1166" s="89"/>
      <c r="E1166" s="71"/>
      <c r="F1166" s="11"/>
      <c r="G1166" s="90"/>
      <c r="H1166" s="89"/>
      <c r="I1166" s="91"/>
    </row>
    <row r="1167" customFormat="false" ht="12.75" hidden="false" customHeight="true" outlineLevel="0" collapsed="false">
      <c r="C1167" s="88"/>
      <c r="D1167" s="89"/>
      <c r="E1167" s="71"/>
      <c r="F1167" s="11"/>
      <c r="G1167" s="90"/>
      <c r="H1167" s="89"/>
      <c r="I1167" s="91"/>
    </row>
    <row r="1168" customFormat="false" ht="12.75" hidden="false" customHeight="true" outlineLevel="0" collapsed="false">
      <c r="C1168" s="88"/>
      <c r="D1168" s="89"/>
      <c r="E1168" s="71"/>
      <c r="F1168" s="11"/>
      <c r="G1168" s="90"/>
      <c r="H1168" s="89"/>
      <c r="I1168" s="91"/>
    </row>
    <row r="1169" customFormat="false" ht="12.75" hidden="false" customHeight="true" outlineLevel="0" collapsed="false">
      <c r="C1169" s="88"/>
      <c r="D1169" s="89"/>
      <c r="E1169" s="71"/>
      <c r="F1169" s="11"/>
      <c r="G1169" s="90"/>
      <c r="H1169" s="89"/>
      <c r="I1169" s="91"/>
    </row>
    <row r="1170" customFormat="false" ht="12.75" hidden="false" customHeight="true" outlineLevel="0" collapsed="false">
      <c r="C1170" s="88"/>
      <c r="D1170" s="89"/>
      <c r="E1170" s="71"/>
      <c r="F1170" s="11"/>
      <c r="G1170" s="90"/>
      <c r="H1170" s="89"/>
      <c r="I1170" s="91"/>
    </row>
    <row r="1171" customFormat="false" ht="12.75" hidden="false" customHeight="true" outlineLevel="0" collapsed="false">
      <c r="C1171" s="88"/>
      <c r="D1171" s="89"/>
      <c r="E1171" s="71"/>
      <c r="F1171" s="11"/>
      <c r="G1171" s="90"/>
      <c r="H1171" s="89"/>
      <c r="I1171" s="91"/>
    </row>
    <row r="1172" customFormat="false" ht="12.75" hidden="false" customHeight="true" outlineLevel="0" collapsed="false">
      <c r="C1172" s="88"/>
      <c r="D1172" s="89"/>
      <c r="E1172" s="71"/>
      <c r="F1172" s="11"/>
      <c r="G1172" s="90"/>
      <c r="H1172" s="89"/>
      <c r="I1172" s="91"/>
    </row>
    <row r="1173" customFormat="false" ht="12.75" hidden="false" customHeight="true" outlineLevel="0" collapsed="false">
      <c r="C1173" s="88"/>
      <c r="D1173" s="89"/>
      <c r="E1173" s="71"/>
      <c r="F1173" s="11"/>
      <c r="G1173" s="90"/>
      <c r="H1173" s="89"/>
      <c r="I1173" s="91"/>
    </row>
    <row r="1174" customFormat="false" ht="12.75" hidden="false" customHeight="true" outlineLevel="0" collapsed="false">
      <c r="C1174" s="88"/>
      <c r="D1174" s="89"/>
      <c r="E1174" s="71"/>
      <c r="F1174" s="11"/>
      <c r="G1174" s="90"/>
      <c r="H1174" s="89"/>
      <c r="I1174" s="91"/>
    </row>
    <row r="1175" customFormat="false" ht="12.75" hidden="false" customHeight="true" outlineLevel="0" collapsed="false">
      <c r="C1175" s="88"/>
      <c r="D1175" s="89"/>
      <c r="E1175" s="71"/>
      <c r="F1175" s="11"/>
      <c r="G1175" s="90"/>
      <c r="H1175" s="89"/>
      <c r="I1175" s="91"/>
    </row>
    <row r="1176" customFormat="false" ht="12.75" hidden="false" customHeight="true" outlineLevel="0" collapsed="false">
      <c r="C1176" s="88"/>
      <c r="D1176" s="89"/>
      <c r="E1176" s="71"/>
      <c r="F1176" s="11"/>
      <c r="G1176" s="90"/>
      <c r="H1176" s="89"/>
      <c r="I1176" s="91"/>
    </row>
    <row r="1177" customFormat="false" ht="12.75" hidden="false" customHeight="true" outlineLevel="0" collapsed="false">
      <c r="C1177" s="88"/>
      <c r="D1177" s="89"/>
      <c r="E1177" s="71"/>
      <c r="F1177" s="11"/>
      <c r="G1177" s="90"/>
      <c r="H1177" s="89"/>
      <c r="I1177" s="91"/>
    </row>
    <row r="1178" customFormat="false" ht="12.75" hidden="false" customHeight="true" outlineLevel="0" collapsed="false">
      <c r="C1178" s="88"/>
      <c r="D1178" s="89"/>
      <c r="E1178" s="71"/>
      <c r="F1178" s="11"/>
      <c r="G1178" s="90"/>
      <c r="H1178" s="89"/>
      <c r="I1178" s="91"/>
    </row>
    <row r="1179" customFormat="false" ht="12.75" hidden="false" customHeight="true" outlineLevel="0" collapsed="false">
      <c r="C1179" s="88"/>
      <c r="D1179" s="89"/>
      <c r="E1179" s="71"/>
      <c r="F1179" s="11"/>
      <c r="G1179" s="90"/>
      <c r="H1179" s="89"/>
      <c r="I1179" s="91"/>
    </row>
    <row r="1180" customFormat="false" ht="12.75" hidden="false" customHeight="true" outlineLevel="0" collapsed="false">
      <c r="C1180" s="88"/>
      <c r="D1180" s="89"/>
      <c r="E1180" s="71"/>
      <c r="F1180" s="11"/>
      <c r="G1180" s="90"/>
      <c r="H1180" s="89"/>
      <c r="I1180" s="91"/>
    </row>
    <row r="1181" customFormat="false" ht="12.75" hidden="false" customHeight="true" outlineLevel="0" collapsed="false">
      <c r="C1181" s="88"/>
      <c r="D1181" s="89"/>
      <c r="E1181" s="71"/>
      <c r="F1181" s="11"/>
      <c r="G1181" s="90"/>
      <c r="H1181" s="89"/>
      <c r="I1181" s="91"/>
    </row>
    <row r="1182" customFormat="false" ht="12.75" hidden="false" customHeight="true" outlineLevel="0" collapsed="false">
      <c r="C1182" s="88"/>
      <c r="D1182" s="89"/>
      <c r="E1182" s="71"/>
      <c r="F1182" s="11"/>
      <c r="G1182" s="90"/>
      <c r="H1182" s="89"/>
      <c r="I1182" s="91"/>
    </row>
    <row r="1183" customFormat="false" ht="12.75" hidden="false" customHeight="true" outlineLevel="0" collapsed="false">
      <c r="C1183" s="88"/>
      <c r="D1183" s="89"/>
      <c r="E1183" s="71"/>
      <c r="F1183" s="11"/>
      <c r="G1183" s="90"/>
      <c r="H1183" s="89"/>
      <c r="I1183" s="91"/>
    </row>
    <row r="1184" customFormat="false" ht="12.75" hidden="false" customHeight="true" outlineLevel="0" collapsed="false">
      <c r="C1184" s="88"/>
      <c r="D1184" s="89"/>
      <c r="E1184" s="71"/>
      <c r="F1184" s="11"/>
      <c r="G1184" s="90"/>
      <c r="H1184" s="89"/>
      <c r="I1184" s="91"/>
    </row>
    <row r="1185" customFormat="false" ht="12.75" hidden="false" customHeight="true" outlineLevel="0" collapsed="false">
      <c r="C1185" s="88"/>
      <c r="D1185" s="89"/>
      <c r="E1185" s="71"/>
      <c r="F1185" s="11"/>
      <c r="G1185" s="90"/>
      <c r="H1185" s="89"/>
      <c r="I1185" s="91"/>
    </row>
    <row r="1186" customFormat="false" ht="12.75" hidden="false" customHeight="true" outlineLevel="0" collapsed="false">
      <c r="C1186" s="88"/>
      <c r="D1186" s="89"/>
      <c r="E1186" s="71"/>
      <c r="F1186" s="11"/>
      <c r="G1186" s="90"/>
      <c r="H1186" s="89"/>
      <c r="I1186" s="91"/>
    </row>
    <row r="1187" customFormat="false" ht="12.75" hidden="false" customHeight="true" outlineLevel="0" collapsed="false">
      <c r="C1187" s="88"/>
      <c r="D1187" s="89"/>
      <c r="E1187" s="71"/>
      <c r="F1187" s="11"/>
      <c r="G1187" s="90"/>
      <c r="H1187" s="89"/>
      <c r="I1187" s="91"/>
    </row>
    <row r="1188" customFormat="false" ht="12.75" hidden="false" customHeight="true" outlineLevel="0" collapsed="false">
      <c r="C1188" s="88"/>
      <c r="D1188" s="89"/>
      <c r="E1188" s="71"/>
      <c r="F1188" s="11"/>
      <c r="G1188" s="90"/>
      <c r="H1188" s="89"/>
      <c r="I1188" s="91"/>
    </row>
    <row r="1189" customFormat="false" ht="12.75" hidden="false" customHeight="true" outlineLevel="0" collapsed="false">
      <c r="C1189" s="88"/>
      <c r="D1189" s="89"/>
      <c r="E1189" s="71"/>
      <c r="F1189" s="11"/>
      <c r="G1189" s="90"/>
      <c r="H1189" s="89"/>
      <c r="I1189" s="91"/>
    </row>
    <row r="1190" customFormat="false" ht="12.75" hidden="false" customHeight="true" outlineLevel="0" collapsed="false">
      <c r="C1190" s="88"/>
      <c r="D1190" s="89"/>
      <c r="E1190" s="71"/>
      <c r="F1190" s="11"/>
      <c r="G1190" s="90"/>
      <c r="H1190" s="89"/>
      <c r="I1190" s="91"/>
    </row>
    <row r="1191" customFormat="false" ht="12.75" hidden="false" customHeight="true" outlineLevel="0" collapsed="false">
      <c r="C1191" s="88"/>
      <c r="D1191" s="89"/>
      <c r="E1191" s="71"/>
      <c r="F1191" s="11"/>
      <c r="G1191" s="90"/>
      <c r="H1191" s="89"/>
      <c r="I1191" s="91"/>
    </row>
    <row r="1192" customFormat="false" ht="12.75" hidden="false" customHeight="true" outlineLevel="0" collapsed="false">
      <c r="C1192" s="88"/>
      <c r="D1192" s="89"/>
      <c r="E1192" s="71"/>
      <c r="F1192" s="11"/>
      <c r="G1192" s="90"/>
      <c r="H1192" s="89"/>
      <c r="I1192" s="91"/>
    </row>
    <row r="1193" customFormat="false" ht="12.75" hidden="false" customHeight="true" outlineLevel="0" collapsed="false">
      <c r="C1193" s="88"/>
      <c r="D1193" s="89"/>
      <c r="E1193" s="71"/>
      <c r="F1193" s="11"/>
      <c r="G1193" s="90"/>
      <c r="H1193" s="89"/>
      <c r="I1193" s="91"/>
    </row>
    <row r="1194" customFormat="false" ht="12.75" hidden="false" customHeight="true" outlineLevel="0" collapsed="false">
      <c r="C1194" s="88"/>
      <c r="D1194" s="89"/>
      <c r="E1194" s="71"/>
      <c r="F1194" s="11"/>
      <c r="G1194" s="90"/>
      <c r="H1194" s="89"/>
      <c r="I1194" s="91"/>
    </row>
    <row r="1195" customFormat="false" ht="12.75" hidden="false" customHeight="true" outlineLevel="0" collapsed="false">
      <c r="C1195" s="88"/>
      <c r="D1195" s="89"/>
      <c r="E1195" s="71"/>
      <c r="F1195" s="11"/>
      <c r="G1195" s="90"/>
      <c r="H1195" s="89"/>
      <c r="I1195" s="91"/>
    </row>
    <row r="1196" customFormat="false" ht="12.75" hidden="false" customHeight="true" outlineLevel="0" collapsed="false">
      <c r="C1196" s="88"/>
      <c r="D1196" s="89"/>
      <c r="E1196" s="71"/>
      <c r="F1196" s="11"/>
      <c r="G1196" s="90"/>
      <c r="H1196" s="89"/>
      <c r="I1196" s="91"/>
    </row>
    <row r="1197" customFormat="false" ht="12.75" hidden="false" customHeight="true" outlineLevel="0" collapsed="false">
      <c r="C1197" s="88"/>
      <c r="D1197" s="89"/>
      <c r="E1197" s="71"/>
      <c r="F1197" s="11"/>
      <c r="G1197" s="90"/>
      <c r="H1197" s="89"/>
      <c r="I1197" s="91"/>
    </row>
    <row r="1198" customFormat="false" ht="12.75" hidden="false" customHeight="true" outlineLevel="0" collapsed="false">
      <c r="C1198" s="88"/>
      <c r="D1198" s="89"/>
      <c r="E1198" s="71"/>
      <c r="F1198" s="11"/>
      <c r="G1198" s="90"/>
      <c r="H1198" s="89"/>
      <c r="I1198" s="91"/>
    </row>
    <row r="1199" customFormat="false" ht="12.75" hidden="false" customHeight="true" outlineLevel="0" collapsed="false">
      <c r="C1199" s="88"/>
      <c r="D1199" s="89"/>
      <c r="E1199" s="71"/>
      <c r="F1199" s="11"/>
      <c r="G1199" s="90"/>
      <c r="H1199" s="89"/>
      <c r="I1199" s="91"/>
    </row>
    <row r="1200" customFormat="false" ht="12.75" hidden="false" customHeight="true" outlineLevel="0" collapsed="false">
      <c r="C1200" s="88"/>
      <c r="D1200" s="89"/>
      <c r="E1200" s="71"/>
      <c r="F1200" s="11"/>
      <c r="G1200" s="90"/>
      <c r="H1200" s="89"/>
      <c r="I1200" s="91"/>
    </row>
    <row r="1201" customFormat="false" ht="12.75" hidden="false" customHeight="true" outlineLevel="0" collapsed="false">
      <c r="C1201" s="88"/>
      <c r="D1201" s="89"/>
      <c r="E1201" s="71"/>
      <c r="F1201" s="11"/>
      <c r="G1201" s="90"/>
      <c r="H1201" s="89"/>
      <c r="I1201" s="91"/>
    </row>
    <row r="1202" customFormat="false" ht="12.75" hidden="false" customHeight="true" outlineLevel="0" collapsed="false">
      <c r="C1202" s="88"/>
      <c r="D1202" s="89"/>
      <c r="E1202" s="71"/>
      <c r="F1202" s="11"/>
      <c r="G1202" s="90"/>
      <c r="H1202" s="89"/>
      <c r="I1202" s="91"/>
    </row>
    <row r="1203" customFormat="false" ht="12.75" hidden="false" customHeight="true" outlineLevel="0" collapsed="false">
      <c r="C1203" s="88"/>
      <c r="D1203" s="89"/>
      <c r="E1203" s="71"/>
      <c r="F1203" s="11"/>
      <c r="G1203" s="90"/>
      <c r="H1203" s="89"/>
      <c r="I1203" s="91"/>
    </row>
    <row r="1204" customFormat="false" ht="12.75" hidden="false" customHeight="true" outlineLevel="0" collapsed="false">
      <c r="C1204" s="88"/>
      <c r="D1204" s="89"/>
      <c r="E1204" s="71"/>
      <c r="F1204" s="11"/>
      <c r="G1204" s="90"/>
      <c r="H1204" s="89"/>
      <c r="I1204" s="91"/>
    </row>
    <row r="1205" customFormat="false" ht="12.75" hidden="false" customHeight="true" outlineLevel="0" collapsed="false">
      <c r="C1205" s="88"/>
      <c r="D1205" s="89"/>
      <c r="E1205" s="71"/>
      <c r="F1205" s="11"/>
      <c r="G1205" s="90"/>
      <c r="H1205" s="89"/>
      <c r="I1205" s="91"/>
    </row>
    <row r="1206" customFormat="false" ht="12.75" hidden="false" customHeight="true" outlineLevel="0" collapsed="false">
      <c r="C1206" s="88"/>
      <c r="D1206" s="89"/>
      <c r="E1206" s="71"/>
      <c r="F1206" s="11"/>
      <c r="G1206" s="90"/>
      <c r="H1206" s="89"/>
      <c r="I1206" s="91"/>
    </row>
    <row r="1207" customFormat="false" ht="12.75" hidden="false" customHeight="true" outlineLevel="0" collapsed="false">
      <c r="C1207" s="88"/>
      <c r="D1207" s="89"/>
      <c r="E1207" s="71"/>
      <c r="F1207" s="11"/>
      <c r="G1207" s="90"/>
      <c r="H1207" s="89"/>
      <c r="I1207" s="91"/>
    </row>
    <row r="1208" customFormat="false" ht="12.75" hidden="false" customHeight="true" outlineLevel="0" collapsed="false">
      <c r="C1208" s="88"/>
      <c r="D1208" s="89"/>
      <c r="E1208" s="71"/>
      <c r="F1208" s="11"/>
      <c r="G1208" s="90"/>
      <c r="H1208" s="89"/>
      <c r="I1208" s="91"/>
    </row>
    <row r="1209" customFormat="false" ht="12.75" hidden="false" customHeight="true" outlineLevel="0" collapsed="false">
      <c r="C1209" s="88"/>
      <c r="D1209" s="89"/>
      <c r="E1209" s="71"/>
      <c r="F1209" s="11"/>
      <c r="G1209" s="90"/>
      <c r="H1209" s="89"/>
      <c r="I1209" s="91"/>
    </row>
    <row r="1210" customFormat="false" ht="12.75" hidden="false" customHeight="true" outlineLevel="0" collapsed="false">
      <c r="C1210" s="88"/>
      <c r="D1210" s="89"/>
      <c r="E1210" s="71"/>
      <c r="F1210" s="11"/>
      <c r="G1210" s="90"/>
      <c r="H1210" s="89"/>
      <c r="I1210" s="91"/>
    </row>
    <row r="1211" customFormat="false" ht="12.75" hidden="false" customHeight="true" outlineLevel="0" collapsed="false">
      <c r="C1211" s="88"/>
      <c r="D1211" s="89"/>
      <c r="E1211" s="71"/>
      <c r="F1211" s="11"/>
      <c r="G1211" s="90"/>
      <c r="H1211" s="89"/>
      <c r="I1211" s="91"/>
    </row>
    <row r="1212" customFormat="false" ht="12.75" hidden="false" customHeight="true" outlineLevel="0" collapsed="false">
      <c r="C1212" s="88"/>
      <c r="D1212" s="89"/>
      <c r="E1212" s="71"/>
      <c r="F1212" s="11"/>
      <c r="G1212" s="90"/>
      <c r="H1212" s="89"/>
      <c r="I1212" s="91"/>
    </row>
    <row r="1213" customFormat="false" ht="12.75" hidden="false" customHeight="true" outlineLevel="0" collapsed="false">
      <c r="C1213" s="88"/>
      <c r="D1213" s="89"/>
      <c r="E1213" s="71"/>
      <c r="F1213" s="11"/>
      <c r="G1213" s="90"/>
      <c r="H1213" s="89"/>
      <c r="I1213" s="91"/>
    </row>
    <row r="1214" customFormat="false" ht="12.75" hidden="false" customHeight="true" outlineLevel="0" collapsed="false">
      <c r="C1214" s="88"/>
      <c r="D1214" s="89"/>
      <c r="E1214" s="71"/>
      <c r="F1214" s="11"/>
      <c r="G1214" s="90"/>
      <c r="H1214" s="89"/>
      <c r="I1214" s="91"/>
    </row>
    <row r="1215" customFormat="false" ht="12.75" hidden="false" customHeight="true" outlineLevel="0" collapsed="false">
      <c r="C1215" s="88"/>
      <c r="D1215" s="89"/>
      <c r="E1215" s="71"/>
      <c r="F1215" s="11"/>
      <c r="G1215" s="90"/>
      <c r="H1215" s="89"/>
      <c r="I1215" s="91"/>
    </row>
    <row r="1216" customFormat="false" ht="12.75" hidden="false" customHeight="true" outlineLevel="0" collapsed="false">
      <c r="C1216" s="88"/>
      <c r="D1216" s="89"/>
      <c r="E1216" s="71"/>
      <c r="F1216" s="11"/>
      <c r="G1216" s="90"/>
      <c r="H1216" s="89"/>
      <c r="I1216" s="91"/>
    </row>
    <row r="1217" customFormat="false" ht="12.75" hidden="false" customHeight="true" outlineLevel="0" collapsed="false">
      <c r="C1217" s="88"/>
      <c r="D1217" s="89"/>
      <c r="E1217" s="71"/>
      <c r="F1217" s="11"/>
      <c r="G1217" s="90"/>
      <c r="H1217" s="89"/>
      <c r="I1217" s="91"/>
    </row>
    <row r="1218" customFormat="false" ht="12.75" hidden="false" customHeight="true" outlineLevel="0" collapsed="false">
      <c r="C1218" s="88"/>
      <c r="D1218" s="89"/>
      <c r="E1218" s="71"/>
      <c r="F1218" s="11"/>
      <c r="G1218" s="90"/>
      <c r="H1218" s="89"/>
      <c r="I1218" s="91"/>
    </row>
    <row r="1219" customFormat="false" ht="12.75" hidden="false" customHeight="true" outlineLevel="0" collapsed="false">
      <c r="C1219" s="88"/>
      <c r="D1219" s="89"/>
      <c r="E1219" s="71"/>
      <c r="F1219" s="11"/>
      <c r="G1219" s="90"/>
      <c r="H1219" s="89"/>
      <c r="I1219" s="91"/>
    </row>
    <row r="1220" customFormat="false" ht="12.75" hidden="false" customHeight="true" outlineLevel="0" collapsed="false">
      <c r="C1220" s="88"/>
      <c r="D1220" s="89"/>
      <c r="E1220" s="71"/>
      <c r="F1220" s="11"/>
      <c r="G1220" s="90"/>
      <c r="H1220" s="89"/>
      <c r="I1220" s="91"/>
    </row>
    <row r="1221" customFormat="false" ht="12.75" hidden="false" customHeight="true" outlineLevel="0" collapsed="false">
      <c r="C1221" s="88"/>
      <c r="D1221" s="89"/>
      <c r="E1221" s="71"/>
      <c r="F1221" s="11"/>
      <c r="G1221" s="90"/>
      <c r="H1221" s="89"/>
      <c r="I1221" s="91"/>
    </row>
    <row r="1222" customFormat="false" ht="12.75" hidden="false" customHeight="true" outlineLevel="0" collapsed="false">
      <c r="C1222" s="88"/>
      <c r="D1222" s="89"/>
      <c r="E1222" s="71"/>
      <c r="F1222" s="11"/>
      <c r="G1222" s="90"/>
      <c r="H1222" s="89"/>
      <c r="I1222" s="91"/>
    </row>
    <row r="1223" customFormat="false" ht="12.75" hidden="false" customHeight="true" outlineLevel="0" collapsed="false">
      <c r="C1223" s="88"/>
      <c r="D1223" s="89"/>
      <c r="E1223" s="71"/>
      <c r="F1223" s="11"/>
      <c r="G1223" s="90"/>
      <c r="H1223" s="89"/>
      <c r="I1223" s="91"/>
    </row>
    <row r="1224" customFormat="false" ht="12.75" hidden="false" customHeight="true" outlineLevel="0" collapsed="false">
      <c r="C1224" s="88"/>
      <c r="D1224" s="89"/>
      <c r="E1224" s="71"/>
      <c r="F1224" s="11"/>
      <c r="G1224" s="90"/>
      <c r="H1224" s="89"/>
      <c r="I1224" s="91"/>
    </row>
    <row r="1225" customFormat="false" ht="12.75" hidden="false" customHeight="true" outlineLevel="0" collapsed="false">
      <c r="C1225" s="88"/>
      <c r="D1225" s="89"/>
      <c r="E1225" s="71"/>
      <c r="F1225" s="11"/>
      <c r="G1225" s="90"/>
      <c r="H1225" s="89"/>
      <c r="I1225" s="91"/>
    </row>
    <row r="1226" customFormat="false" ht="12.75" hidden="false" customHeight="true" outlineLevel="0" collapsed="false">
      <c r="C1226" s="88"/>
      <c r="D1226" s="89"/>
      <c r="E1226" s="71"/>
      <c r="F1226" s="11"/>
      <c r="G1226" s="90"/>
      <c r="H1226" s="89"/>
      <c r="I1226" s="91"/>
    </row>
    <row r="1227" customFormat="false" ht="12.75" hidden="false" customHeight="true" outlineLevel="0" collapsed="false">
      <c r="C1227" s="88"/>
      <c r="D1227" s="89"/>
      <c r="E1227" s="71"/>
      <c r="F1227" s="11"/>
      <c r="G1227" s="90"/>
      <c r="H1227" s="89"/>
      <c r="I1227" s="91"/>
    </row>
    <row r="1228" customFormat="false" ht="12.75" hidden="false" customHeight="true" outlineLevel="0" collapsed="false">
      <c r="C1228" s="88"/>
      <c r="D1228" s="89"/>
      <c r="E1228" s="71"/>
      <c r="F1228" s="11"/>
      <c r="G1228" s="90"/>
      <c r="H1228" s="89"/>
      <c r="I1228" s="91"/>
    </row>
    <row r="1229" customFormat="false" ht="12.75" hidden="false" customHeight="true" outlineLevel="0" collapsed="false">
      <c r="C1229" s="88"/>
      <c r="D1229" s="89"/>
      <c r="E1229" s="71"/>
      <c r="F1229" s="11"/>
      <c r="G1229" s="90"/>
      <c r="H1229" s="89"/>
      <c r="I1229" s="91"/>
    </row>
    <row r="1230" customFormat="false" ht="12.75" hidden="false" customHeight="true" outlineLevel="0" collapsed="false">
      <c r="C1230" s="88"/>
      <c r="D1230" s="89"/>
      <c r="E1230" s="71"/>
      <c r="F1230" s="11"/>
      <c r="G1230" s="90"/>
      <c r="H1230" s="89"/>
      <c r="I1230" s="91"/>
    </row>
    <row r="1231" customFormat="false" ht="12.75" hidden="false" customHeight="true" outlineLevel="0" collapsed="false">
      <c r="C1231" s="88"/>
      <c r="D1231" s="89"/>
      <c r="E1231" s="71"/>
      <c r="F1231" s="11"/>
      <c r="G1231" s="90"/>
      <c r="H1231" s="89"/>
      <c r="I1231" s="91"/>
    </row>
    <row r="1232" customFormat="false" ht="12.75" hidden="false" customHeight="true" outlineLevel="0" collapsed="false">
      <c r="C1232" s="88"/>
      <c r="D1232" s="89"/>
      <c r="E1232" s="71"/>
      <c r="F1232" s="11"/>
      <c r="G1232" s="90"/>
      <c r="H1232" s="89"/>
      <c r="I1232" s="91"/>
    </row>
    <row r="1233" customFormat="false" ht="12.75" hidden="false" customHeight="true" outlineLevel="0" collapsed="false">
      <c r="C1233" s="88"/>
      <c r="D1233" s="89"/>
      <c r="E1233" s="71"/>
      <c r="F1233" s="11"/>
      <c r="G1233" s="90"/>
      <c r="H1233" s="89"/>
      <c r="I1233" s="91"/>
    </row>
    <row r="1234" customFormat="false" ht="12.75" hidden="false" customHeight="true" outlineLevel="0" collapsed="false">
      <c r="C1234" s="88"/>
      <c r="D1234" s="89"/>
      <c r="E1234" s="71"/>
      <c r="F1234" s="11"/>
      <c r="G1234" s="90"/>
      <c r="H1234" s="89"/>
      <c r="I1234" s="91"/>
    </row>
    <row r="1235" customFormat="false" ht="12.75" hidden="false" customHeight="true" outlineLevel="0" collapsed="false">
      <c r="C1235" s="88"/>
      <c r="D1235" s="89"/>
      <c r="E1235" s="71"/>
      <c r="F1235" s="11"/>
      <c r="G1235" s="90"/>
      <c r="H1235" s="89"/>
      <c r="I1235" s="91"/>
    </row>
    <row r="1236" customFormat="false" ht="12.75" hidden="false" customHeight="true" outlineLevel="0" collapsed="false">
      <c r="C1236" s="88"/>
      <c r="D1236" s="89"/>
      <c r="E1236" s="71"/>
      <c r="F1236" s="11"/>
      <c r="G1236" s="90"/>
      <c r="H1236" s="89"/>
      <c r="I1236" s="91"/>
    </row>
    <row r="1237" customFormat="false" ht="12.75" hidden="false" customHeight="true" outlineLevel="0" collapsed="false">
      <c r="C1237" s="88"/>
      <c r="D1237" s="89"/>
      <c r="E1237" s="71"/>
      <c r="F1237" s="11"/>
      <c r="G1237" s="90"/>
      <c r="H1237" s="89"/>
      <c r="I1237" s="91"/>
    </row>
    <row r="1238" customFormat="false" ht="12.75" hidden="false" customHeight="true" outlineLevel="0" collapsed="false">
      <c r="C1238" s="88"/>
      <c r="D1238" s="89"/>
      <c r="E1238" s="71"/>
      <c r="F1238" s="11"/>
      <c r="G1238" s="90"/>
      <c r="H1238" s="89"/>
      <c r="I1238" s="91"/>
    </row>
    <row r="1239" customFormat="false" ht="12.75" hidden="false" customHeight="true" outlineLevel="0" collapsed="false">
      <c r="C1239" s="88"/>
      <c r="D1239" s="89"/>
      <c r="E1239" s="71"/>
      <c r="F1239" s="11"/>
      <c r="G1239" s="90"/>
      <c r="H1239" s="89"/>
      <c r="I1239" s="91"/>
    </row>
    <row r="1240" customFormat="false" ht="12.75" hidden="false" customHeight="true" outlineLevel="0" collapsed="false">
      <c r="C1240" s="88"/>
      <c r="D1240" s="89"/>
      <c r="E1240" s="71"/>
      <c r="F1240" s="11"/>
      <c r="G1240" s="90"/>
      <c r="H1240" s="89"/>
      <c r="I1240" s="91"/>
    </row>
    <row r="1241" customFormat="false" ht="12.75" hidden="false" customHeight="true" outlineLevel="0" collapsed="false">
      <c r="C1241" s="88"/>
      <c r="D1241" s="89"/>
      <c r="E1241" s="71"/>
      <c r="F1241" s="11"/>
      <c r="G1241" s="90"/>
      <c r="H1241" s="89"/>
      <c r="I1241" s="91"/>
    </row>
    <row r="1242" customFormat="false" ht="12.75" hidden="false" customHeight="true" outlineLevel="0" collapsed="false">
      <c r="C1242" s="88"/>
      <c r="D1242" s="89"/>
      <c r="E1242" s="71"/>
      <c r="F1242" s="11"/>
      <c r="G1242" s="90"/>
      <c r="H1242" s="89"/>
      <c r="I1242" s="91"/>
    </row>
    <row r="1243" customFormat="false" ht="12.75" hidden="false" customHeight="true" outlineLevel="0" collapsed="false">
      <c r="C1243" s="88"/>
      <c r="D1243" s="89"/>
      <c r="E1243" s="71"/>
      <c r="F1243" s="11"/>
      <c r="G1243" s="90"/>
      <c r="H1243" s="89"/>
      <c r="I1243" s="91"/>
    </row>
    <row r="1244" customFormat="false" ht="12.75" hidden="false" customHeight="true" outlineLevel="0" collapsed="false">
      <c r="C1244" s="88"/>
      <c r="D1244" s="89"/>
      <c r="E1244" s="71"/>
      <c r="F1244" s="11"/>
      <c r="G1244" s="90"/>
      <c r="H1244" s="89"/>
      <c r="I1244" s="91"/>
    </row>
    <row r="1245" customFormat="false" ht="12.75" hidden="false" customHeight="true" outlineLevel="0" collapsed="false">
      <c r="C1245" s="88"/>
      <c r="D1245" s="89"/>
      <c r="E1245" s="71"/>
      <c r="F1245" s="11"/>
      <c r="G1245" s="90"/>
      <c r="H1245" s="89"/>
      <c r="I1245" s="91"/>
    </row>
    <row r="1246" customFormat="false" ht="12.75" hidden="false" customHeight="true" outlineLevel="0" collapsed="false">
      <c r="C1246" s="88"/>
      <c r="D1246" s="89"/>
      <c r="E1246" s="71"/>
      <c r="F1246" s="11"/>
      <c r="G1246" s="90"/>
      <c r="H1246" s="89"/>
      <c r="I1246" s="91"/>
    </row>
    <row r="1247" customFormat="false" ht="12.75" hidden="false" customHeight="true" outlineLevel="0" collapsed="false">
      <c r="C1247" s="88"/>
      <c r="D1247" s="89"/>
      <c r="E1247" s="71"/>
      <c r="F1247" s="11"/>
      <c r="G1247" s="90"/>
      <c r="H1247" s="89"/>
      <c r="I1247" s="91"/>
    </row>
    <row r="1248" customFormat="false" ht="12.75" hidden="false" customHeight="true" outlineLevel="0" collapsed="false">
      <c r="C1248" s="88"/>
      <c r="D1248" s="89"/>
      <c r="E1248" s="71"/>
      <c r="F1248" s="11"/>
      <c r="G1248" s="90"/>
      <c r="H1248" s="89"/>
      <c r="I1248" s="91"/>
    </row>
    <row r="1249" customFormat="false" ht="12.75" hidden="false" customHeight="true" outlineLevel="0" collapsed="false">
      <c r="C1249" s="88"/>
      <c r="D1249" s="89"/>
      <c r="E1249" s="71"/>
      <c r="F1249" s="11"/>
      <c r="G1249" s="90"/>
      <c r="H1249" s="89"/>
      <c r="I1249" s="91"/>
    </row>
    <row r="1250" customFormat="false" ht="12.75" hidden="false" customHeight="true" outlineLevel="0" collapsed="false">
      <c r="C1250" s="88"/>
      <c r="D1250" s="89"/>
      <c r="E1250" s="71"/>
      <c r="F1250" s="11"/>
      <c r="G1250" s="90"/>
      <c r="H1250" s="89"/>
      <c r="I1250" s="91"/>
    </row>
    <row r="1251" customFormat="false" ht="12.75" hidden="false" customHeight="true" outlineLevel="0" collapsed="false">
      <c r="C1251" s="88"/>
      <c r="D1251" s="89"/>
      <c r="E1251" s="71"/>
      <c r="F1251" s="11"/>
      <c r="G1251" s="90"/>
      <c r="H1251" s="89"/>
      <c r="I1251" s="91"/>
    </row>
    <row r="1252" customFormat="false" ht="12.75" hidden="false" customHeight="true" outlineLevel="0" collapsed="false">
      <c r="C1252" s="88"/>
      <c r="D1252" s="89"/>
      <c r="E1252" s="71"/>
      <c r="F1252" s="11"/>
      <c r="G1252" s="90"/>
      <c r="H1252" s="89"/>
      <c r="I1252" s="91"/>
    </row>
    <row r="1253" customFormat="false" ht="12.75" hidden="false" customHeight="true" outlineLevel="0" collapsed="false">
      <c r="C1253" s="88"/>
      <c r="D1253" s="89"/>
      <c r="E1253" s="71"/>
      <c r="F1253" s="11"/>
      <c r="G1253" s="90"/>
      <c r="H1253" s="89"/>
      <c r="I1253" s="91"/>
    </row>
    <row r="1254" customFormat="false" ht="12.75" hidden="false" customHeight="true" outlineLevel="0" collapsed="false">
      <c r="C1254" s="88"/>
      <c r="D1254" s="89"/>
      <c r="E1254" s="71"/>
      <c r="F1254" s="11"/>
      <c r="G1254" s="90"/>
      <c r="H1254" s="89"/>
      <c r="I1254" s="91"/>
    </row>
    <row r="1255" customFormat="false" ht="12.75" hidden="false" customHeight="true" outlineLevel="0" collapsed="false">
      <c r="C1255" s="88"/>
      <c r="D1255" s="89"/>
      <c r="E1255" s="71"/>
      <c r="F1255" s="11"/>
      <c r="G1255" s="90"/>
      <c r="H1255" s="89"/>
      <c r="I1255" s="91"/>
    </row>
    <row r="1256" customFormat="false" ht="12.75" hidden="false" customHeight="true" outlineLevel="0" collapsed="false">
      <c r="C1256" s="88"/>
      <c r="D1256" s="89"/>
      <c r="E1256" s="71"/>
      <c r="F1256" s="11"/>
      <c r="G1256" s="90"/>
      <c r="H1256" s="89"/>
      <c r="I1256" s="91"/>
    </row>
    <row r="1257" customFormat="false" ht="12.75" hidden="false" customHeight="true" outlineLevel="0" collapsed="false">
      <c r="C1257" s="88"/>
      <c r="D1257" s="89"/>
      <c r="E1257" s="71"/>
      <c r="F1257" s="11"/>
      <c r="G1257" s="90"/>
      <c r="H1257" s="89"/>
      <c r="I1257" s="91"/>
    </row>
    <row r="1258" customFormat="false" ht="12.75" hidden="false" customHeight="true" outlineLevel="0" collapsed="false">
      <c r="C1258" s="88"/>
      <c r="D1258" s="89"/>
      <c r="E1258" s="71"/>
      <c r="F1258" s="11"/>
      <c r="G1258" s="90"/>
      <c r="H1258" s="89"/>
      <c r="I1258" s="91"/>
    </row>
    <row r="1259" customFormat="false" ht="12.75" hidden="false" customHeight="true" outlineLevel="0" collapsed="false">
      <c r="C1259" s="88"/>
      <c r="D1259" s="89"/>
      <c r="E1259" s="71"/>
      <c r="F1259" s="11"/>
      <c r="G1259" s="90"/>
      <c r="H1259" s="89"/>
      <c r="I1259" s="91"/>
    </row>
    <row r="1260" customFormat="false" ht="12.75" hidden="false" customHeight="true" outlineLevel="0" collapsed="false">
      <c r="C1260" s="88"/>
      <c r="D1260" s="89"/>
      <c r="E1260" s="71"/>
      <c r="F1260" s="11"/>
      <c r="G1260" s="90"/>
      <c r="H1260" s="89"/>
      <c r="I1260" s="91"/>
    </row>
    <row r="1261" customFormat="false" ht="12.75" hidden="false" customHeight="true" outlineLevel="0" collapsed="false">
      <c r="C1261" s="88"/>
      <c r="D1261" s="89"/>
      <c r="E1261" s="71"/>
      <c r="F1261" s="11"/>
      <c r="G1261" s="90"/>
      <c r="H1261" s="89"/>
      <c r="I1261" s="91"/>
    </row>
    <row r="1262" customFormat="false" ht="12.75" hidden="false" customHeight="true" outlineLevel="0" collapsed="false">
      <c r="C1262" s="88"/>
      <c r="D1262" s="89"/>
      <c r="E1262" s="71"/>
      <c r="F1262" s="11"/>
      <c r="G1262" s="90"/>
      <c r="H1262" s="89"/>
      <c r="I1262" s="91"/>
    </row>
    <row r="1263" customFormat="false" ht="12.75" hidden="false" customHeight="true" outlineLevel="0" collapsed="false">
      <c r="C1263" s="88"/>
      <c r="D1263" s="89"/>
      <c r="E1263" s="71"/>
      <c r="F1263" s="11"/>
      <c r="G1263" s="90"/>
      <c r="H1263" s="89"/>
      <c r="I1263" s="91"/>
    </row>
    <row r="1264" customFormat="false" ht="12.75" hidden="false" customHeight="true" outlineLevel="0" collapsed="false">
      <c r="C1264" s="88"/>
      <c r="D1264" s="89"/>
      <c r="E1264" s="71"/>
      <c r="F1264" s="11"/>
      <c r="G1264" s="90"/>
      <c r="H1264" s="89"/>
      <c r="I1264" s="91"/>
    </row>
    <row r="1265" customFormat="false" ht="12.75" hidden="false" customHeight="true" outlineLevel="0" collapsed="false">
      <c r="C1265" s="88"/>
      <c r="D1265" s="89"/>
      <c r="E1265" s="71"/>
      <c r="F1265" s="11"/>
      <c r="G1265" s="90"/>
      <c r="H1265" s="89"/>
      <c r="I1265" s="91"/>
    </row>
    <row r="1266" customFormat="false" ht="12.75" hidden="false" customHeight="true" outlineLevel="0" collapsed="false">
      <c r="C1266" s="88"/>
      <c r="D1266" s="89"/>
      <c r="E1266" s="71"/>
      <c r="F1266" s="11"/>
      <c r="G1266" s="90"/>
      <c r="H1266" s="89"/>
      <c r="I1266" s="91"/>
    </row>
    <row r="1267" customFormat="false" ht="12.75" hidden="false" customHeight="true" outlineLevel="0" collapsed="false">
      <c r="C1267" s="88"/>
      <c r="D1267" s="89"/>
      <c r="E1267" s="71"/>
      <c r="F1267" s="11"/>
      <c r="G1267" s="90"/>
      <c r="H1267" s="89"/>
      <c r="I1267" s="91"/>
    </row>
    <row r="1268" customFormat="false" ht="12.75" hidden="false" customHeight="true" outlineLevel="0" collapsed="false">
      <c r="C1268" s="88"/>
      <c r="D1268" s="89"/>
      <c r="E1268" s="71"/>
      <c r="F1268" s="11"/>
      <c r="G1268" s="90"/>
      <c r="H1268" s="89"/>
      <c r="I1268" s="91"/>
    </row>
    <row r="1269" customFormat="false" ht="12.75" hidden="false" customHeight="true" outlineLevel="0" collapsed="false">
      <c r="C1269" s="88"/>
      <c r="D1269" s="89"/>
      <c r="E1269" s="71"/>
      <c r="F1269" s="11"/>
      <c r="G1269" s="90"/>
      <c r="H1269" s="89"/>
      <c r="I1269" s="91"/>
    </row>
    <row r="1270" customFormat="false" ht="12.75" hidden="false" customHeight="true" outlineLevel="0" collapsed="false">
      <c r="C1270" s="88"/>
      <c r="D1270" s="89"/>
      <c r="E1270" s="71"/>
      <c r="F1270" s="11"/>
      <c r="G1270" s="90"/>
      <c r="H1270" s="89"/>
      <c r="I1270" s="91"/>
    </row>
    <row r="1271" customFormat="false" ht="12.75" hidden="false" customHeight="true" outlineLevel="0" collapsed="false">
      <c r="C1271" s="88"/>
      <c r="D1271" s="89"/>
      <c r="E1271" s="71"/>
      <c r="F1271" s="11"/>
      <c r="G1271" s="90"/>
      <c r="H1271" s="89"/>
      <c r="I1271" s="91"/>
    </row>
    <row r="1272" customFormat="false" ht="12.75" hidden="false" customHeight="true" outlineLevel="0" collapsed="false">
      <c r="C1272" s="88"/>
      <c r="D1272" s="89"/>
      <c r="E1272" s="71"/>
      <c r="F1272" s="11"/>
      <c r="G1272" s="90"/>
      <c r="H1272" s="89"/>
      <c r="I1272" s="91"/>
    </row>
    <row r="1273" customFormat="false" ht="12.75" hidden="false" customHeight="true" outlineLevel="0" collapsed="false">
      <c r="C1273" s="88"/>
      <c r="D1273" s="89"/>
      <c r="E1273" s="71"/>
      <c r="F1273" s="11"/>
      <c r="G1273" s="90"/>
      <c r="H1273" s="89"/>
      <c r="I1273" s="91"/>
    </row>
    <row r="1274" customFormat="false" ht="12.75" hidden="false" customHeight="true" outlineLevel="0" collapsed="false">
      <c r="C1274" s="88"/>
      <c r="D1274" s="89"/>
      <c r="E1274" s="71"/>
      <c r="F1274" s="11"/>
      <c r="G1274" s="90"/>
      <c r="H1274" s="89"/>
      <c r="I1274" s="91"/>
    </row>
    <row r="1275" customFormat="false" ht="12.75" hidden="false" customHeight="true" outlineLevel="0" collapsed="false">
      <c r="C1275" s="88"/>
      <c r="D1275" s="89"/>
      <c r="E1275" s="71"/>
      <c r="F1275" s="11"/>
      <c r="G1275" s="90"/>
      <c r="H1275" s="89"/>
      <c r="I1275" s="91"/>
    </row>
    <row r="1276" customFormat="false" ht="12.75" hidden="false" customHeight="true" outlineLevel="0" collapsed="false">
      <c r="C1276" s="88"/>
      <c r="D1276" s="89"/>
      <c r="E1276" s="71"/>
      <c r="F1276" s="11"/>
      <c r="G1276" s="90"/>
      <c r="H1276" s="89"/>
      <c r="I1276" s="91"/>
    </row>
    <row r="1277" customFormat="false" ht="12.75" hidden="false" customHeight="true" outlineLevel="0" collapsed="false">
      <c r="C1277" s="88"/>
      <c r="D1277" s="89"/>
      <c r="E1277" s="71"/>
      <c r="F1277" s="11"/>
      <c r="G1277" s="90"/>
      <c r="H1277" s="89"/>
      <c r="I1277" s="91"/>
    </row>
    <row r="1278" customFormat="false" ht="12.75" hidden="false" customHeight="true" outlineLevel="0" collapsed="false">
      <c r="C1278" s="88"/>
      <c r="D1278" s="89"/>
      <c r="E1278" s="71"/>
      <c r="F1278" s="11"/>
      <c r="G1278" s="90"/>
      <c r="H1278" s="89"/>
      <c r="I1278" s="91"/>
    </row>
    <row r="1279" customFormat="false" ht="12.75" hidden="false" customHeight="true" outlineLevel="0" collapsed="false">
      <c r="C1279" s="88"/>
      <c r="D1279" s="89"/>
      <c r="E1279" s="71"/>
      <c r="F1279" s="11"/>
      <c r="G1279" s="90"/>
      <c r="H1279" s="89"/>
      <c r="I1279" s="91"/>
    </row>
    <row r="1280" customFormat="false" ht="12.75" hidden="false" customHeight="true" outlineLevel="0" collapsed="false">
      <c r="C1280" s="88"/>
      <c r="D1280" s="89"/>
      <c r="E1280" s="71"/>
      <c r="F1280" s="11"/>
      <c r="G1280" s="90"/>
      <c r="H1280" s="89"/>
      <c r="I1280" s="91"/>
    </row>
    <row r="1281" customFormat="false" ht="12.75" hidden="false" customHeight="true" outlineLevel="0" collapsed="false">
      <c r="C1281" s="88"/>
      <c r="D1281" s="89"/>
      <c r="E1281" s="71"/>
      <c r="F1281" s="11"/>
      <c r="G1281" s="90"/>
      <c r="H1281" s="89"/>
      <c r="I1281" s="91"/>
    </row>
    <row r="1282" customFormat="false" ht="12.75" hidden="false" customHeight="true" outlineLevel="0" collapsed="false">
      <c r="C1282" s="88"/>
      <c r="D1282" s="89"/>
      <c r="E1282" s="71"/>
      <c r="F1282" s="11"/>
      <c r="G1282" s="90"/>
      <c r="H1282" s="89"/>
      <c r="I1282" s="91"/>
    </row>
    <row r="1283" customFormat="false" ht="12.75" hidden="false" customHeight="true" outlineLevel="0" collapsed="false">
      <c r="C1283" s="88"/>
      <c r="D1283" s="89"/>
      <c r="E1283" s="71"/>
      <c r="F1283" s="11"/>
      <c r="G1283" s="90"/>
      <c r="H1283" s="89"/>
      <c r="I1283" s="91"/>
    </row>
    <row r="1284" customFormat="false" ht="12.75" hidden="false" customHeight="true" outlineLevel="0" collapsed="false">
      <c r="C1284" s="88"/>
      <c r="D1284" s="89"/>
      <c r="E1284" s="71"/>
      <c r="F1284" s="11"/>
      <c r="G1284" s="90"/>
      <c r="H1284" s="89"/>
      <c r="I1284" s="91"/>
    </row>
    <row r="1285" customFormat="false" ht="12.75" hidden="false" customHeight="true" outlineLevel="0" collapsed="false">
      <c r="C1285" s="88"/>
      <c r="D1285" s="89"/>
      <c r="E1285" s="71"/>
      <c r="F1285" s="11"/>
      <c r="G1285" s="90"/>
      <c r="H1285" s="89"/>
      <c r="I1285" s="91"/>
    </row>
    <row r="1286" customFormat="false" ht="12.75" hidden="false" customHeight="true" outlineLevel="0" collapsed="false">
      <c r="C1286" s="88"/>
      <c r="D1286" s="89"/>
      <c r="E1286" s="71"/>
      <c r="F1286" s="11"/>
      <c r="G1286" s="90"/>
      <c r="H1286" s="89"/>
      <c r="I1286" s="91"/>
    </row>
    <row r="1287" customFormat="false" ht="12.75" hidden="false" customHeight="true" outlineLevel="0" collapsed="false">
      <c r="C1287" s="88"/>
      <c r="D1287" s="89"/>
      <c r="E1287" s="71"/>
      <c r="F1287" s="11"/>
      <c r="G1287" s="90"/>
      <c r="H1287" s="89"/>
      <c r="I1287" s="91"/>
    </row>
    <row r="1288" customFormat="false" ht="12.75" hidden="false" customHeight="true" outlineLevel="0" collapsed="false">
      <c r="C1288" s="88"/>
      <c r="D1288" s="89"/>
      <c r="E1288" s="71"/>
      <c r="F1288" s="11"/>
      <c r="G1288" s="90"/>
      <c r="H1288" s="89"/>
      <c r="I1288" s="91"/>
    </row>
    <row r="1289" customFormat="false" ht="12.75" hidden="false" customHeight="true" outlineLevel="0" collapsed="false">
      <c r="C1289" s="88"/>
      <c r="D1289" s="89"/>
      <c r="E1289" s="71"/>
      <c r="F1289" s="11"/>
      <c r="G1289" s="90"/>
      <c r="H1289" s="89"/>
      <c r="I1289" s="91"/>
    </row>
    <row r="1290" customFormat="false" ht="12.75" hidden="false" customHeight="true" outlineLevel="0" collapsed="false">
      <c r="C1290" s="88"/>
      <c r="D1290" s="89"/>
      <c r="E1290" s="71"/>
      <c r="F1290" s="11"/>
      <c r="G1290" s="90"/>
      <c r="H1290" s="89"/>
      <c r="I1290" s="91"/>
    </row>
    <row r="1291" customFormat="false" ht="12.75" hidden="false" customHeight="true" outlineLevel="0" collapsed="false">
      <c r="C1291" s="88"/>
      <c r="D1291" s="89"/>
      <c r="E1291" s="71"/>
      <c r="F1291" s="11"/>
      <c r="G1291" s="90"/>
      <c r="H1291" s="89"/>
      <c r="I1291" s="91"/>
    </row>
    <row r="1292" customFormat="false" ht="12.75" hidden="false" customHeight="true" outlineLevel="0" collapsed="false">
      <c r="C1292" s="88"/>
      <c r="D1292" s="89"/>
      <c r="E1292" s="71"/>
      <c r="F1292" s="11"/>
      <c r="G1292" s="90"/>
      <c r="H1292" s="89"/>
      <c r="I1292" s="91"/>
    </row>
    <row r="1293" customFormat="false" ht="12.75" hidden="false" customHeight="true" outlineLevel="0" collapsed="false">
      <c r="C1293" s="88"/>
      <c r="D1293" s="89"/>
      <c r="E1293" s="71"/>
      <c r="F1293" s="11"/>
      <c r="G1293" s="90"/>
      <c r="H1293" s="89"/>
      <c r="I1293" s="91"/>
    </row>
    <row r="1294" customFormat="false" ht="12.75" hidden="false" customHeight="true" outlineLevel="0" collapsed="false">
      <c r="C1294" s="88"/>
      <c r="D1294" s="89"/>
      <c r="E1294" s="71"/>
      <c r="F1294" s="11"/>
      <c r="G1294" s="90"/>
      <c r="H1294" s="89"/>
      <c r="I1294" s="91"/>
    </row>
    <row r="1295" customFormat="false" ht="12.75" hidden="false" customHeight="true" outlineLevel="0" collapsed="false">
      <c r="C1295" s="88"/>
      <c r="D1295" s="89"/>
      <c r="E1295" s="71"/>
      <c r="F1295" s="11"/>
      <c r="G1295" s="90"/>
      <c r="H1295" s="89"/>
      <c r="I1295" s="91"/>
    </row>
    <row r="1296" customFormat="false" ht="12.75" hidden="false" customHeight="true" outlineLevel="0" collapsed="false">
      <c r="C1296" s="88"/>
      <c r="D1296" s="89"/>
      <c r="E1296" s="71"/>
      <c r="F1296" s="11"/>
      <c r="G1296" s="90"/>
      <c r="H1296" s="89"/>
      <c r="I1296" s="91"/>
    </row>
    <row r="1297" customFormat="false" ht="12.75" hidden="false" customHeight="true" outlineLevel="0" collapsed="false">
      <c r="C1297" s="88"/>
      <c r="D1297" s="89"/>
      <c r="E1297" s="71"/>
      <c r="F1297" s="11"/>
      <c r="G1297" s="90"/>
      <c r="H1297" s="89"/>
      <c r="I1297" s="91"/>
    </row>
    <row r="1298" customFormat="false" ht="12.75" hidden="false" customHeight="true" outlineLevel="0" collapsed="false">
      <c r="C1298" s="88"/>
      <c r="D1298" s="89"/>
      <c r="E1298" s="71"/>
      <c r="F1298" s="11"/>
      <c r="G1298" s="90"/>
      <c r="H1298" s="89"/>
      <c r="I1298" s="91"/>
    </row>
    <row r="1299" customFormat="false" ht="12.75" hidden="false" customHeight="true" outlineLevel="0" collapsed="false">
      <c r="C1299" s="88"/>
      <c r="D1299" s="89"/>
      <c r="E1299" s="71"/>
      <c r="F1299" s="11"/>
      <c r="G1299" s="90"/>
      <c r="H1299" s="89"/>
      <c r="I1299" s="91"/>
    </row>
    <row r="1300" customFormat="false" ht="12.75" hidden="false" customHeight="true" outlineLevel="0" collapsed="false">
      <c r="C1300" s="88"/>
      <c r="D1300" s="89"/>
      <c r="E1300" s="71"/>
      <c r="F1300" s="11"/>
      <c r="G1300" s="90"/>
      <c r="H1300" s="89"/>
      <c r="I1300" s="91"/>
    </row>
    <row r="1301" customFormat="false" ht="12.75" hidden="false" customHeight="true" outlineLevel="0" collapsed="false">
      <c r="C1301" s="88"/>
      <c r="D1301" s="89"/>
      <c r="E1301" s="71"/>
      <c r="F1301" s="11"/>
      <c r="G1301" s="90"/>
      <c r="H1301" s="89"/>
      <c r="I1301" s="91"/>
    </row>
    <row r="1302" customFormat="false" ht="12.75" hidden="false" customHeight="true" outlineLevel="0" collapsed="false">
      <c r="C1302" s="88"/>
      <c r="D1302" s="89"/>
      <c r="E1302" s="71"/>
      <c r="F1302" s="11"/>
      <c r="G1302" s="90"/>
      <c r="H1302" s="89"/>
      <c r="I1302" s="91"/>
    </row>
    <row r="1303" customFormat="false" ht="12.75" hidden="false" customHeight="true" outlineLevel="0" collapsed="false">
      <c r="C1303" s="88"/>
      <c r="D1303" s="89"/>
      <c r="E1303" s="71"/>
      <c r="F1303" s="11"/>
      <c r="G1303" s="90"/>
      <c r="H1303" s="89"/>
      <c r="I1303" s="91"/>
    </row>
    <row r="1304" customFormat="false" ht="12.75" hidden="false" customHeight="true" outlineLevel="0" collapsed="false">
      <c r="C1304" s="88"/>
      <c r="D1304" s="89"/>
      <c r="E1304" s="71"/>
      <c r="F1304" s="11"/>
      <c r="G1304" s="90"/>
      <c r="H1304" s="89"/>
      <c r="I1304" s="91"/>
    </row>
    <row r="1305" customFormat="false" ht="12.75" hidden="false" customHeight="true" outlineLevel="0" collapsed="false">
      <c r="C1305" s="88"/>
      <c r="D1305" s="89"/>
      <c r="E1305" s="71"/>
      <c r="F1305" s="11"/>
      <c r="G1305" s="90"/>
      <c r="H1305" s="89"/>
      <c r="I1305" s="91"/>
    </row>
    <row r="1306" customFormat="false" ht="12.75" hidden="false" customHeight="true" outlineLevel="0" collapsed="false">
      <c r="C1306" s="88"/>
      <c r="D1306" s="89"/>
      <c r="E1306" s="71"/>
      <c r="F1306" s="11"/>
      <c r="G1306" s="90"/>
      <c r="H1306" s="89"/>
      <c r="I1306" s="91"/>
    </row>
    <row r="1307" customFormat="false" ht="12.75" hidden="false" customHeight="true" outlineLevel="0" collapsed="false">
      <c r="C1307" s="88"/>
      <c r="D1307" s="89"/>
      <c r="E1307" s="71"/>
      <c r="F1307" s="11"/>
      <c r="G1307" s="90"/>
      <c r="H1307" s="89"/>
      <c r="I1307" s="91"/>
    </row>
    <row r="1308" customFormat="false" ht="12.75" hidden="false" customHeight="true" outlineLevel="0" collapsed="false">
      <c r="C1308" s="88"/>
      <c r="D1308" s="89"/>
      <c r="E1308" s="71"/>
      <c r="F1308" s="11"/>
      <c r="G1308" s="90"/>
      <c r="H1308" s="89"/>
      <c r="I1308" s="91"/>
    </row>
    <row r="1309" customFormat="false" ht="12.75" hidden="false" customHeight="true" outlineLevel="0" collapsed="false">
      <c r="C1309" s="88"/>
      <c r="D1309" s="89"/>
      <c r="E1309" s="71"/>
      <c r="F1309" s="11"/>
      <c r="G1309" s="90"/>
      <c r="H1309" s="89"/>
      <c r="I1309" s="91"/>
    </row>
    <row r="1310" customFormat="false" ht="12.75" hidden="false" customHeight="true" outlineLevel="0" collapsed="false">
      <c r="C1310" s="88"/>
      <c r="D1310" s="89"/>
      <c r="E1310" s="71"/>
      <c r="F1310" s="11"/>
      <c r="G1310" s="90"/>
      <c r="H1310" s="89"/>
      <c r="I1310" s="91"/>
    </row>
    <row r="1311" customFormat="false" ht="12.75" hidden="false" customHeight="true" outlineLevel="0" collapsed="false">
      <c r="C1311" s="88"/>
      <c r="D1311" s="89"/>
      <c r="E1311" s="71"/>
      <c r="F1311" s="11"/>
      <c r="G1311" s="90"/>
      <c r="H1311" s="89"/>
      <c r="I1311" s="91"/>
    </row>
  </sheetData>
  <autoFilter ref="A1:F1311"/>
  <conditionalFormatting sqref="G1:G402">
    <cfRule type="cellIs" priority="2" operator="equal" aboveAverage="0" equalAverage="0" bottom="0" percent="0" rank="0" text="" dxfId="25">
      <formula>0</formula>
    </cfRule>
  </conditionalFormatting>
  <conditionalFormatting sqref="H1:H417">
    <cfRule type="cellIs" priority="3" operator="equal" aboveAverage="0" equalAverage="0" bottom="0" percent="0" rank="0" text="" dxfId="26">
      <formula>0</formula>
    </cfRule>
  </conditionalFormatting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6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I7" activeCellId="0" sqref="I7"/>
    </sheetView>
  </sheetViews>
  <sheetFormatPr defaultColWidth="12.5703125" defaultRowHeight="15.75" zeroHeight="false" outlineLevelRow="0" outlineLevelCol="0"/>
  <cols>
    <col collapsed="false" customWidth="true" hidden="false" outlineLevel="0" max="1" min="1" style="1" width="41.15"/>
    <col collapsed="false" customWidth="true" hidden="false" outlineLevel="0" max="2" min="2" style="1" width="43"/>
    <col collapsed="false" customWidth="true" hidden="false" outlineLevel="0" max="3" min="3" style="1" width="61.42"/>
    <col collapsed="false" customWidth="true" hidden="false" outlineLevel="0" max="4" min="4" style="1" width="15.42"/>
    <col collapsed="false" customWidth="true" hidden="false" outlineLevel="0" max="5" min="5" style="1" width="43"/>
    <col collapsed="false" customWidth="true" hidden="false" outlineLevel="0" max="6" min="6" style="1" width="41.42"/>
    <col collapsed="false" customWidth="true" hidden="false" outlineLevel="0" max="7" min="7" style="1" width="69.57"/>
    <col collapsed="false" customWidth="true" hidden="false" outlineLevel="0" max="8" min="8" style="1" width="7.57"/>
    <col collapsed="false" customWidth="true" hidden="false" outlineLevel="0" max="9" min="9" style="1" width="7.86"/>
    <col collapsed="false" customWidth="true" hidden="false" outlineLevel="0" max="11" min="11" style="1" width="50.16"/>
  </cols>
  <sheetData>
    <row r="1" customFormat="false" ht="15.75" hidden="false" customHeight="true" outlineLevel="0" collapsed="false">
      <c r="A1" s="7" t="s">
        <v>414</v>
      </c>
      <c r="B1" s="7" t="s">
        <v>628</v>
      </c>
      <c r="D1" s="92" t="s">
        <v>629</v>
      </c>
      <c r="F1" s="93"/>
      <c r="G1" s="67" t="s">
        <v>630</v>
      </c>
      <c r="H1" s="67" t="s">
        <v>415</v>
      </c>
      <c r="I1" s="67" t="s">
        <v>629</v>
      </c>
    </row>
    <row r="2" customFormat="false" ht="15.75" hidden="false" customHeight="true" outlineLevel="0" collapsed="false">
      <c r="A2" s="15"/>
      <c r="B2" s="15"/>
      <c r="C2" s="94"/>
      <c r="D2" s="66"/>
      <c r="E2" s="15" t="s">
        <v>393</v>
      </c>
      <c r="F2" s="69" t="s">
        <v>166</v>
      </c>
      <c r="G2" s="15" t="s">
        <v>631</v>
      </c>
      <c r="H2" s="16" t="s">
        <v>424</v>
      </c>
      <c r="I2" s="89" t="n">
        <v>1.5</v>
      </c>
    </row>
    <row r="3" customFormat="false" ht="15.75" hidden="false" customHeight="true" outlineLevel="0" collapsed="false">
      <c r="A3" s="15" t="s">
        <v>632</v>
      </c>
      <c r="B3" s="15" t="s">
        <v>361</v>
      </c>
      <c r="C3" s="94" t="str">
        <f aca="false">VLOOKUP(B3,E$2:F$46,2,FALSE())</f>
        <v>Устройство потолочны коробов для балок</v>
      </c>
      <c r="D3" s="66" t="n">
        <f aca="false">VLOOKUP(C3,G$2:I$35,3,FALSE())</f>
        <v>6.5</v>
      </c>
      <c r="E3" s="15" t="s">
        <v>395</v>
      </c>
      <c r="F3" s="69" t="s">
        <v>166</v>
      </c>
      <c r="G3" s="15" t="s">
        <v>633</v>
      </c>
      <c r="H3" s="16" t="s">
        <v>157</v>
      </c>
      <c r="I3" s="89" t="n">
        <v>0.5</v>
      </c>
    </row>
    <row r="4" customFormat="false" ht="15.75" hidden="false" customHeight="true" outlineLevel="0" collapsed="false">
      <c r="A4" s="15" t="s">
        <v>582</v>
      </c>
      <c r="B4" s="15" t="s">
        <v>361</v>
      </c>
      <c r="C4" s="94" t="str">
        <f aca="false">VLOOKUP(B4,E$2:F$46,2,FALSE())</f>
        <v>Устройство потолочны коробов для балок</v>
      </c>
      <c r="D4" s="66" t="n">
        <f aca="false">VLOOKUP(C4,G$2:I$35,3,FALSE())</f>
        <v>6.5</v>
      </c>
      <c r="E4" s="15" t="s">
        <v>556</v>
      </c>
      <c r="F4" s="69" t="s">
        <v>460</v>
      </c>
      <c r="G4" s="15" t="s">
        <v>193</v>
      </c>
      <c r="H4" s="16" t="s">
        <v>436</v>
      </c>
      <c r="I4" s="89" t="n">
        <v>5</v>
      </c>
    </row>
    <row r="5" customFormat="false" ht="15.75" hidden="false" customHeight="true" outlineLevel="0" collapsed="false">
      <c r="A5" s="15" t="s">
        <v>634</v>
      </c>
      <c r="B5" s="15" t="s">
        <v>361</v>
      </c>
      <c r="C5" s="94" t="str">
        <f aca="false">VLOOKUP(B5,E$2:F$46,2,FALSE())</f>
        <v>Устройство потолочны коробов для балок</v>
      </c>
      <c r="D5" s="66" t="n">
        <f aca="false">VLOOKUP(C5,G$2:I$35,3,FALSE())</f>
        <v>6.5</v>
      </c>
      <c r="E5" s="15" t="s">
        <v>635</v>
      </c>
      <c r="F5" s="69" t="s">
        <v>166</v>
      </c>
      <c r="G5" s="15" t="s">
        <v>636</v>
      </c>
      <c r="H5" s="16" t="s">
        <v>424</v>
      </c>
      <c r="I5" s="89" t="n">
        <v>1</v>
      </c>
    </row>
    <row r="6" customFormat="false" ht="15.75" hidden="false" customHeight="true" outlineLevel="0" collapsed="false">
      <c r="A6" s="15" t="s">
        <v>562</v>
      </c>
      <c r="B6" s="15" t="s">
        <v>188</v>
      </c>
      <c r="C6" s="94" t="str">
        <f aca="false">VLOOKUP(B6,E$2:F$46,2,FALSE())</f>
        <v>Бетонирование участков пола</v>
      </c>
      <c r="D6" s="66" t="n">
        <f aca="false">VLOOKUP(C6,G$2:I$35,3,FALSE())</f>
        <v>5</v>
      </c>
      <c r="E6" s="15" t="s">
        <v>276</v>
      </c>
      <c r="F6" s="69" t="s">
        <v>168</v>
      </c>
      <c r="G6" s="15" t="s">
        <v>637</v>
      </c>
      <c r="H6" s="16" t="s">
        <v>436</v>
      </c>
      <c r="I6" s="89" t="n">
        <v>0.5</v>
      </c>
    </row>
    <row r="7" customFormat="false" ht="15.75" hidden="false" customHeight="true" outlineLevel="0" collapsed="false">
      <c r="A7" s="15" t="s">
        <v>475</v>
      </c>
      <c r="B7" s="15" t="s">
        <v>170</v>
      </c>
      <c r="C7" s="94" t="str">
        <f aca="false">VLOOKUP(B7,E$2:F$46,2,FALSE())</f>
        <v>Установка перфорированого угла</v>
      </c>
      <c r="D7" s="66" t="n">
        <f aca="false">VLOOKUP(C7,G$2:I$35,3,FALSE())</f>
        <v>2.5</v>
      </c>
      <c r="E7" s="15" t="s">
        <v>638</v>
      </c>
      <c r="F7" s="69" t="s">
        <v>639</v>
      </c>
      <c r="G7" s="15" t="s">
        <v>238</v>
      </c>
      <c r="H7" s="16" t="s">
        <v>157</v>
      </c>
      <c r="I7" s="89" t="n">
        <v>4</v>
      </c>
    </row>
    <row r="8" customFormat="false" ht="15.75" hidden="false" customHeight="true" outlineLevel="0" collapsed="false">
      <c r="A8" s="15" t="s">
        <v>493</v>
      </c>
      <c r="B8" s="15" t="s">
        <v>307</v>
      </c>
      <c r="C8" s="94" t="str">
        <f aca="false">VLOOKUP(B8,E$2:F$46,2,FALSE())</f>
        <v>Проклейка армирующей ленты на стыки ГКЛ и на примыкания стен и потолка</v>
      </c>
      <c r="D8" s="66" t="n">
        <f aca="false">VLOOKUP(C8,G$2:I$35,3,FALSE())</f>
        <v>2</v>
      </c>
      <c r="E8" s="15" t="s">
        <v>640</v>
      </c>
      <c r="F8" s="69" t="s">
        <v>168</v>
      </c>
      <c r="G8" s="15" t="s">
        <v>159</v>
      </c>
      <c r="H8" s="16" t="s">
        <v>157</v>
      </c>
      <c r="I8" s="89" t="n">
        <v>8</v>
      </c>
    </row>
    <row r="9" customFormat="false" ht="15.75" hidden="false" customHeight="true" outlineLevel="0" collapsed="false">
      <c r="A9" s="15" t="s">
        <v>393</v>
      </c>
      <c r="B9" s="15" t="s">
        <v>166</v>
      </c>
      <c r="C9" s="94" t="str">
        <f aca="false">VLOOKUP(B9,E$2:F$46,2,FALSE())</f>
        <v>Шпатлевка потолка</v>
      </c>
      <c r="D9" s="66" t="n">
        <f aca="false">VLOOKUP(C9,G$2:I$35,3,FALSE())</f>
        <v>4</v>
      </c>
      <c r="E9" s="15" t="s">
        <v>444</v>
      </c>
      <c r="F9" s="69" t="s">
        <v>633</v>
      </c>
      <c r="G9" s="15" t="s">
        <v>161</v>
      </c>
      <c r="H9" s="16" t="s">
        <v>157</v>
      </c>
      <c r="I9" s="89" t="n">
        <v>9</v>
      </c>
    </row>
    <row r="10" customFormat="false" ht="15.75" hidden="false" customHeight="true" outlineLevel="0" collapsed="false">
      <c r="A10" s="15" t="s">
        <v>641</v>
      </c>
      <c r="B10" s="15" t="s">
        <v>635</v>
      </c>
      <c r="C10" s="94" t="str">
        <f aca="false">VLOOKUP(B10,E$2:F$46,2,FALSE())</f>
        <v>Шпатлевка потолка</v>
      </c>
      <c r="D10" s="66" t="n">
        <f aca="false">VLOOKUP(C10,G$2:I$35,3,FALSE())</f>
        <v>4</v>
      </c>
      <c r="E10" s="15" t="s">
        <v>496</v>
      </c>
      <c r="F10" s="69" t="s">
        <v>633</v>
      </c>
      <c r="G10" s="15" t="s">
        <v>411</v>
      </c>
      <c r="H10" s="16" t="s">
        <v>436</v>
      </c>
      <c r="I10" s="89" t="n">
        <v>200</v>
      </c>
    </row>
    <row r="11" customFormat="false" ht="15.75" hidden="false" customHeight="true" outlineLevel="0" collapsed="false">
      <c r="A11" s="15" t="s">
        <v>395</v>
      </c>
      <c r="B11" s="15" t="s">
        <v>166</v>
      </c>
      <c r="C11" s="94" t="str">
        <f aca="false">VLOOKUP(B11,E$2:F$46,2,FALSE())</f>
        <v>Шпатлевка потолка</v>
      </c>
      <c r="D11" s="66" t="n">
        <f aca="false">VLOOKUP(C11,G$2:I$35,3,FALSE())</f>
        <v>4</v>
      </c>
      <c r="E11" s="15" t="s">
        <v>642</v>
      </c>
      <c r="F11" s="69" t="s">
        <v>161</v>
      </c>
      <c r="G11" s="15" t="s">
        <v>182</v>
      </c>
      <c r="H11" s="16" t="s">
        <v>424</v>
      </c>
      <c r="I11" s="89" t="n">
        <v>3</v>
      </c>
    </row>
    <row r="12" customFormat="false" ht="15.75" hidden="false" customHeight="true" outlineLevel="0" collapsed="false">
      <c r="A12" s="95" t="s">
        <v>643</v>
      </c>
      <c r="B12" s="15" t="s">
        <v>168</v>
      </c>
      <c r="C12" s="94" t="s">
        <v>168</v>
      </c>
      <c r="D12" s="66" t="n">
        <f aca="false">VLOOKUP(C12,G$2:I$35,3,FALSE())</f>
        <v>3</v>
      </c>
      <c r="E12" s="15" t="s">
        <v>644</v>
      </c>
      <c r="F12" s="69" t="s">
        <v>159</v>
      </c>
      <c r="G12" s="15" t="s">
        <v>460</v>
      </c>
      <c r="H12" s="16" t="s">
        <v>424</v>
      </c>
      <c r="I12" s="89" t="n">
        <v>10</v>
      </c>
    </row>
    <row r="13" customFormat="false" ht="15.75" hidden="false" customHeight="true" outlineLevel="0" collapsed="false">
      <c r="A13" s="15" t="s">
        <v>215</v>
      </c>
      <c r="B13" s="15" t="s">
        <v>215</v>
      </c>
      <c r="C13" s="94" t="s">
        <v>168</v>
      </c>
      <c r="D13" s="66" t="n">
        <f aca="false">VLOOKUP(C13,G$2:I$35,3,FALSE())</f>
        <v>3</v>
      </c>
      <c r="E13" s="15" t="s">
        <v>645</v>
      </c>
      <c r="F13" s="69" t="s">
        <v>161</v>
      </c>
      <c r="G13" s="15" t="s">
        <v>646</v>
      </c>
      <c r="H13" s="96" t="s">
        <v>436</v>
      </c>
      <c r="I13" s="97" t="n">
        <v>35</v>
      </c>
    </row>
    <row r="14" customFormat="false" ht="15.75" hidden="false" customHeight="true" outlineLevel="0" collapsed="false">
      <c r="A14" s="15" t="s">
        <v>640</v>
      </c>
      <c r="B14" s="15" t="s">
        <v>640</v>
      </c>
      <c r="C14" s="94" t="s">
        <v>647</v>
      </c>
      <c r="D14" s="66" t="n">
        <f aca="false">VLOOKUP(C14,G$2:I$35,3,FALSE())</f>
        <v>2</v>
      </c>
      <c r="E14" s="15" t="s">
        <v>345</v>
      </c>
      <c r="F14" s="69" t="s">
        <v>238</v>
      </c>
      <c r="G14" s="15" t="s">
        <v>648</v>
      </c>
      <c r="H14" s="96" t="s">
        <v>436</v>
      </c>
      <c r="I14" s="97" t="n">
        <v>35</v>
      </c>
    </row>
    <row r="15" customFormat="false" ht="15.75" hidden="false" customHeight="true" outlineLevel="0" collapsed="false">
      <c r="A15" s="15" t="s">
        <v>205</v>
      </c>
      <c r="B15" s="15" t="s">
        <v>205</v>
      </c>
      <c r="C15" s="94" t="s">
        <v>166</v>
      </c>
      <c r="D15" s="66" t="n">
        <f aca="false">VLOOKUP(C15,G$2:I$35,3,FALSE())</f>
        <v>4</v>
      </c>
      <c r="E15" s="15" t="s">
        <v>411</v>
      </c>
      <c r="F15" s="69" t="s">
        <v>411</v>
      </c>
      <c r="G15" s="15" t="s">
        <v>649</v>
      </c>
      <c r="H15" s="16" t="s">
        <v>157</v>
      </c>
      <c r="I15" s="89" t="n">
        <v>3</v>
      </c>
    </row>
    <row r="16" customFormat="false" ht="15.75" hidden="false" customHeight="true" outlineLevel="0" collapsed="false">
      <c r="A16" s="15" t="s">
        <v>207</v>
      </c>
      <c r="B16" s="15" t="s">
        <v>207</v>
      </c>
      <c r="C16" s="94" t="s">
        <v>168</v>
      </c>
      <c r="D16" s="66" t="n">
        <f aca="false">VLOOKUP(C16,G$2:I$35,3,FALSE())</f>
        <v>3</v>
      </c>
      <c r="E16" s="42" t="s">
        <v>650</v>
      </c>
      <c r="F16" s="93" t="s">
        <v>649</v>
      </c>
      <c r="G16" s="15" t="s">
        <v>647</v>
      </c>
      <c r="H16" s="16" t="s">
        <v>157</v>
      </c>
      <c r="I16" s="89" t="n">
        <v>2</v>
      </c>
    </row>
    <row r="17" customFormat="false" ht="15.75" hidden="false" customHeight="true" outlineLevel="0" collapsed="false">
      <c r="A17" s="15" t="s">
        <v>430</v>
      </c>
      <c r="B17" s="15" t="s">
        <v>496</v>
      </c>
      <c r="C17" s="94" t="str">
        <f aca="false">VLOOKUP(B17,E$2:F$46,2,FALSE())</f>
        <v>Грунтование стен и потолков в 1 слой</v>
      </c>
      <c r="D17" s="66" t="n">
        <f aca="false">VLOOKUP(C17,G$2:I$35,3,FALSE())</f>
        <v>0.5</v>
      </c>
      <c r="E17" s="15" t="s">
        <v>409</v>
      </c>
      <c r="F17" s="69" t="s">
        <v>646</v>
      </c>
      <c r="G17" s="15" t="s">
        <v>651</v>
      </c>
      <c r="H17" s="16" t="s">
        <v>157</v>
      </c>
      <c r="I17" s="89" t="n">
        <v>1.5</v>
      </c>
    </row>
    <row r="18" customFormat="false" ht="15.75" hidden="false" customHeight="true" outlineLevel="0" collapsed="false">
      <c r="A18" s="15" t="s">
        <v>610</v>
      </c>
      <c r="B18" s="15" t="s">
        <v>444</v>
      </c>
      <c r="C18" s="94" t="str">
        <f aca="false">VLOOKUP(B18,E$2:F$46,2,FALSE())</f>
        <v>Грунтование стен и потолков в 1 слой</v>
      </c>
      <c r="D18" s="66" t="n">
        <f aca="false">VLOOKUP(C18,G$2:I$35,3,FALSE())</f>
        <v>0.5</v>
      </c>
      <c r="E18" s="15" t="s">
        <v>558</v>
      </c>
      <c r="F18" s="93"/>
      <c r="G18" s="15" t="s">
        <v>652</v>
      </c>
      <c r="H18" s="16" t="s">
        <v>157</v>
      </c>
      <c r="I18" s="89" t="n">
        <v>1</v>
      </c>
    </row>
    <row r="19" customFormat="false" ht="15.75" hidden="false" customHeight="true" outlineLevel="0" collapsed="false">
      <c r="A19" s="15" t="s">
        <v>653</v>
      </c>
      <c r="B19" s="15" t="s">
        <v>496</v>
      </c>
      <c r="C19" s="94" t="str">
        <f aca="false">VLOOKUP(B19,E$2:F$46,2,FALSE())</f>
        <v>Грунтование стен и потолков в 1 слой</v>
      </c>
      <c r="D19" s="66" t="n">
        <f aca="false">VLOOKUP(C19,G$2:I$35,3,FALSE())</f>
        <v>0.5</v>
      </c>
      <c r="E19" s="15" t="s">
        <v>616</v>
      </c>
      <c r="F19" s="93"/>
      <c r="G19" s="15" t="s">
        <v>639</v>
      </c>
      <c r="H19" s="16" t="s">
        <v>424</v>
      </c>
      <c r="I19" s="89" t="n">
        <v>2</v>
      </c>
    </row>
    <row r="20" customFormat="false" ht="15.75" hidden="false" customHeight="true" outlineLevel="0" collapsed="false">
      <c r="A20" s="15" t="s">
        <v>532</v>
      </c>
      <c r="B20" s="15" t="s">
        <v>496</v>
      </c>
      <c r="C20" s="94" t="str">
        <f aca="false">VLOOKUP(B20,E$2:F$46,2,FALSE())</f>
        <v>Грунтование стен и потолков в 1 слой</v>
      </c>
      <c r="D20" s="66" t="n">
        <f aca="false">VLOOKUP(C20,G$2:I$35,3,FALSE())</f>
        <v>0.5</v>
      </c>
      <c r="E20" s="15" t="s">
        <v>175</v>
      </c>
      <c r="F20" s="93" t="s">
        <v>651</v>
      </c>
      <c r="G20" s="15" t="s">
        <v>654</v>
      </c>
      <c r="H20" s="16" t="s">
        <v>436</v>
      </c>
      <c r="I20" s="89" t="n">
        <v>3</v>
      </c>
    </row>
    <row r="21" customFormat="false" ht="15.75" hidden="false" customHeight="true" outlineLevel="0" collapsed="false">
      <c r="A21" s="15" t="s">
        <v>611</v>
      </c>
      <c r="B21" s="15" t="s">
        <v>444</v>
      </c>
      <c r="C21" s="94" t="str">
        <f aca="false">VLOOKUP(B21,E$2:F$46,2,FALSE())</f>
        <v>Грунтование стен и потолков в 1 слой</v>
      </c>
      <c r="D21" s="66" t="n">
        <f aca="false">VLOOKUP(C21,G$2:I$35,3,FALSE())</f>
        <v>0.5</v>
      </c>
      <c r="E21" s="15" t="s">
        <v>655</v>
      </c>
      <c r="F21" s="93" t="s">
        <v>651</v>
      </c>
      <c r="G21" s="15" t="s">
        <v>212</v>
      </c>
      <c r="H21" s="16" t="s">
        <v>436</v>
      </c>
      <c r="I21" s="89" t="n">
        <v>15</v>
      </c>
    </row>
    <row r="22" customFormat="false" ht="15.75" hidden="false" customHeight="true" outlineLevel="0" collapsed="false">
      <c r="A22" s="15" t="s">
        <v>496</v>
      </c>
      <c r="B22" s="15" t="s">
        <v>496</v>
      </c>
      <c r="C22" s="94" t="str">
        <f aca="false">VLOOKUP(B22,E$2:F$46,2,FALSE())</f>
        <v>Грунтование стен и потолков в 1 слой</v>
      </c>
      <c r="D22" s="66" t="n">
        <f aca="false">VLOOKUP(C22,G$2:I$35,3,FALSE())</f>
        <v>0.5</v>
      </c>
      <c r="E22" s="15" t="s">
        <v>174</v>
      </c>
      <c r="F22" s="93" t="s">
        <v>652</v>
      </c>
      <c r="G22" s="15" t="s">
        <v>656</v>
      </c>
      <c r="H22" s="16" t="s">
        <v>424</v>
      </c>
      <c r="I22" s="89" t="n">
        <v>2.5</v>
      </c>
    </row>
    <row r="23" customFormat="false" ht="15.75" hidden="false" customHeight="true" outlineLevel="0" collapsed="false">
      <c r="A23" s="95" t="s">
        <v>657</v>
      </c>
      <c r="B23" s="15" t="s">
        <v>496</v>
      </c>
      <c r="C23" s="94" t="str">
        <f aca="false">VLOOKUP(B23,E$2:F$46,2,FALSE())</f>
        <v>Грунтование стен и потолков в 1 слой</v>
      </c>
      <c r="D23" s="66" t="n">
        <f aca="false">VLOOKUP(C23,G$2:I$35,3,FALSE())</f>
        <v>0.5</v>
      </c>
      <c r="E23" s="15" t="s">
        <v>658</v>
      </c>
      <c r="F23" s="93" t="s">
        <v>652</v>
      </c>
      <c r="G23" s="15" t="s">
        <v>176</v>
      </c>
      <c r="H23" s="16" t="s">
        <v>157</v>
      </c>
      <c r="I23" s="89" t="n">
        <v>15</v>
      </c>
    </row>
    <row r="24" customFormat="false" ht="15.75" hidden="false" customHeight="true" outlineLevel="0" collapsed="false">
      <c r="A24" s="95" t="s">
        <v>659</v>
      </c>
      <c r="B24" s="15" t="s">
        <v>496</v>
      </c>
      <c r="C24" s="94" t="str">
        <f aca="false">VLOOKUP(B24,E$2:F$46,2,FALSE())</f>
        <v>Грунтование стен и потолков в 1 слой</v>
      </c>
      <c r="D24" s="66" t="n">
        <f aca="false">VLOOKUP(C24,G$2:I$35,3,FALSE())</f>
        <v>0.5</v>
      </c>
      <c r="E24" s="15" t="s">
        <v>178</v>
      </c>
      <c r="F24" s="69" t="s">
        <v>178</v>
      </c>
      <c r="G24" s="15" t="s">
        <v>660</v>
      </c>
      <c r="H24" s="16" t="s">
        <v>157</v>
      </c>
      <c r="I24" s="89" t="n">
        <v>11</v>
      </c>
    </row>
    <row r="25" customFormat="false" ht="15.75" hidden="false" customHeight="true" outlineLevel="0" collapsed="false">
      <c r="A25" s="95" t="s">
        <v>661</v>
      </c>
      <c r="B25" s="42" t="s">
        <v>662</v>
      </c>
      <c r="C25" s="94" t="str">
        <f aca="false">VLOOKUP(B25,E$2:F$46,2,FALSE())</f>
        <v>Поклейка холста (стены)</v>
      </c>
      <c r="D25" s="66" t="n">
        <f aca="false">VLOOKUP(C25,G$2:I$35,3,FALSE())</f>
        <v>2</v>
      </c>
      <c r="E25" s="15" t="s">
        <v>253</v>
      </c>
      <c r="F25" s="69" t="s">
        <v>407</v>
      </c>
      <c r="G25" s="15" t="s">
        <v>663</v>
      </c>
      <c r="H25" s="16" t="s">
        <v>157</v>
      </c>
      <c r="I25" s="89" t="n">
        <v>7</v>
      </c>
    </row>
    <row r="26" customFormat="false" ht="15.75" hidden="false" customHeight="true" outlineLevel="0" collapsed="false">
      <c r="A26" s="15" t="s">
        <v>664</v>
      </c>
      <c r="B26" s="42" t="s">
        <v>662</v>
      </c>
      <c r="C26" s="94" t="str">
        <f aca="false">VLOOKUP(B26,E$2:F$46,2,FALSE())</f>
        <v>Поклейка холста (стены)</v>
      </c>
      <c r="D26" s="66" t="n">
        <f aca="false">VLOOKUP(C26,G$2:I$35,3,FALSE())</f>
        <v>2</v>
      </c>
      <c r="E26" s="15" t="s">
        <v>407</v>
      </c>
      <c r="F26" s="69" t="s">
        <v>407</v>
      </c>
      <c r="G26" s="15" t="s">
        <v>665</v>
      </c>
      <c r="H26" s="16" t="s">
        <v>424</v>
      </c>
      <c r="I26" s="89" t="n">
        <v>6.5</v>
      </c>
    </row>
    <row r="27" customFormat="false" ht="15.75" hidden="false" customHeight="true" outlineLevel="0" collapsed="false">
      <c r="A27" s="95" t="s">
        <v>666</v>
      </c>
      <c r="B27" s="42" t="s">
        <v>662</v>
      </c>
      <c r="C27" s="94" t="str">
        <f aca="false">VLOOKUP(B27,E$2:F$46,2,FALSE())</f>
        <v>Поклейка холста (стены)</v>
      </c>
      <c r="D27" s="66" t="n">
        <f aca="false">VLOOKUP(C27,G$2:I$35,3,FALSE())</f>
        <v>2</v>
      </c>
      <c r="E27" s="15" t="s">
        <v>404</v>
      </c>
      <c r="F27" s="93" t="s">
        <v>648</v>
      </c>
      <c r="G27" s="15" t="s">
        <v>166</v>
      </c>
      <c r="H27" s="16" t="s">
        <v>157</v>
      </c>
      <c r="I27" s="89" t="n">
        <v>4</v>
      </c>
      <c r="J27" s="68"/>
    </row>
    <row r="28" customFormat="false" ht="15.75" hidden="false" customHeight="true" outlineLevel="0" collapsed="false">
      <c r="A28" s="15" t="s">
        <v>534</v>
      </c>
      <c r="B28" s="42" t="s">
        <v>662</v>
      </c>
      <c r="C28" s="94" t="str">
        <f aca="false">VLOOKUP(B28,E$2:F$46,2,FALSE())</f>
        <v>Поклейка холста (стены)</v>
      </c>
      <c r="D28" s="66" t="n">
        <f aca="false">VLOOKUP(C28,G$2:I$35,3,FALSE())</f>
        <v>2</v>
      </c>
      <c r="E28" s="42" t="s">
        <v>363</v>
      </c>
      <c r="F28" s="93" t="s">
        <v>212</v>
      </c>
      <c r="G28" s="15" t="s">
        <v>168</v>
      </c>
      <c r="H28" s="16" t="s">
        <v>157</v>
      </c>
      <c r="I28" s="89" t="n">
        <v>3</v>
      </c>
      <c r="J28" s="68"/>
    </row>
    <row r="29" customFormat="false" ht="15.75" hidden="false" customHeight="true" outlineLevel="0" collapsed="false">
      <c r="A29" s="15" t="s">
        <v>667</v>
      </c>
      <c r="B29" s="42" t="s">
        <v>662</v>
      </c>
      <c r="C29" s="94" t="str">
        <f aca="false">VLOOKUP(B29,E$2:F$46,2,FALSE())</f>
        <v>Поклейка холста (стены)</v>
      </c>
      <c r="D29" s="66" t="n">
        <f aca="false">VLOOKUP(C29,G$2:I$35,3,FALSE())</f>
        <v>2</v>
      </c>
      <c r="E29" s="15" t="s">
        <v>258</v>
      </c>
      <c r="F29" s="93" t="s">
        <v>460</v>
      </c>
      <c r="G29" s="15" t="s">
        <v>201</v>
      </c>
      <c r="H29" s="16" t="s">
        <v>424</v>
      </c>
      <c r="I29" s="89" t="n">
        <v>6</v>
      </c>
      <c r="J29" s="68"/>
    </row>
    <row r="30" customFormat="false" ht="15.75" hidden="false" customHeight="true" outlineLevel="0" collapsed="false">
      <c r="A30" s="15" t="s">
        <v>607</v>
      </c>
      <c r="B30" s="76" t="s">
        <v>650</v>
      </c>
      <c r="C30" s="94" t="str">
        <f aca="false">VLOOKUP(B30,E$2:F$46,2,FALSE())</f>
        <v>Поклейка холста (потолок)</v>
      </c>
      <c r="D30" s="66" t="n">
        <f aca="false">VLOOKUP(C30,G$2:I$35,3,FALSE())</f>
        <v>3</v>
      </c>
      <c r="E30" s="15" t="s">
        <v>361</v>
      </c>
      <c r="F30" s="93" t="s">
        <v>665</v>
      </c>
      <c r="G30" s="15" t="s">
        <v>407</v>
      </c>
      <c r="H30" s="16" t="s">
        <v>436</v>
      </c>
      <c r="I30" s="97" t="n">
        <v>0.5</v>
      </c>
      <c r="J30" s="98"/>
    </row>
    <row r="31" customFormat="false" ht="15.75" hidden="false" customHeight="true" outlineLevel="0" collapsed="false">
      <c r="A31" s="15" t="s">
        <v>608</v>
      </c>
      <c r="B31" s="76" t="s">
        <v>650</v>
      </c>
      <c r="C31" s="94" t="str">
        <f aca="false">VLOOKUP(B31,E$2:F$46,2,FALSE())</f>
        <v>Поклейка холста (потолок)</v>
      </c>
      <c r="D31" s="66" t="n">
        <f aca="false">VLOOKUP(C31,G$2:I$35,3,FALSE())</f>
        <v>3</v>
      </c>
      <c r="E31" s="15" t="s">
        <v>170</v>
      </c>
      <c r="F31" s="93" t="s">
        <v>656</v>
      </c>
      <c r="G31" s="15" t="s">
        <v>178</v>
      </c>
      <c r="H31" s="16" t="s">
        <v>436</v>
      </c>
      <c r="I31" s="89" t="n">
        <v>15</v>
      </c>
      <c r="J31" s="99"/>
    </row>
    <row r="32" customFormat="false" ht="15.75" hidden="false" customHeight="true" outlineLevel="0" collapsed="false">
      <c r="A32" s="76" t="s">
        <v>182</v>
      </c>
      <c r="B32" s="76" t="s">
        <v>182</v>
      </c>
      <c r="C32" s="94" t="str">
        <f aca="false">VLOOKUP(B32, $E$2:$F$46, 2, FALSE())</f>
        <v>Монтаж потолочного плинтуса из пенопласта</v>
      </c>
      <c r="D32" s="66" t="n">
        <f aca="false">VLOOKUP(C32,G$2:I$35,3,FALSE())</f>
        <v>3</v>
      </c>
      <c r="E32" s="15" t="s">
        <v>307</v>
      </c>
      <c r="F32" s="93" t="s">
        <v>639</v>
      </c>
      <c r="G32" s="15" t="s">
        <v>668</v>
      </c>
      <c r="H32" s="16" t="s">
        <v>424</v>
      </c>
      <c r="I32" s="89" t="n">
        <v>5</v>
      </c>
      <c r="J32" s="100"/>
    </row>
    <row r="33" customFormat="false" ht="15.75" hidden="false" customHeight="true" outlineLevel="0" collapsed="false">
      <c r="A33" s="15" t="s">
        <v>601</v>
      </c>
      <c r="B33" s="76" t="s">
        <v>660</v>
      </c>
      <c r="C33" s="94" t="s">
        <v>660</v>
      </c>
      <c r="D33" s="66" t="n">
        <f aca="false">VLOOKUP(C33,G$2:I$35,3,FALSE())</f>
        <v>11</v>
      </c>
      <c r="E33" s="15" t="s">
        <v>536</v>
      </c>
      <c r="F33" s="93" t="s">
        <v>168</v>
      </c>
      <c r="G33" s="15" t="s">
        <v>188</v>
      </c>
      <c r="H33" s="16" t="s">
        <v>157</v>
      </c>
      <c r="I33" s="89" t="n">
        <v>5</v>
      </c>
      <c r="J33" s="68"/>
    </row>
    <row r="34" customFormat="false" ht="15.75" hidden="false" customHeight="true" outlineLevel="0" collapsed="false">
      <c r="A34" s="15" t="s">
        <v>594</v>
      </c>
      <c r="B34" s="15" t="s">
        <v>361</v>
      </c>
      <c r="C34" s="94" t="str">
        <f aca="false">VLOOKUP(B34,E$2:F$46,2,FALSE())</f>
        <v>Устройство потолочны коробов для балок</v>
      </c>
      <c r="D34" s="66" t="n">
        <f aca="false">VLOOKUP(C34,G$2:I$35,3,FALSE())</f>
        <v>6.5</v>
      </c>
      <c r="E34" s="15" t="s">
        <v>322</v>
      </c>
      <c r="F34" s="93" t="s">
        <v>201</v>
      </c>
      <c r="G34" s="15" t="s">
        <v>669</v>
      </c>
      <c r="H34" s="16" t="s">
        <v>157</v>
      </c>
      <c r="I34" s="89" t="n">
        <v>15</v>
      </c>
      <c r="J34" s="68"/>
    </row>
    <row r="35" customFormat="false" ht="15.75" hidden="false" customHeight="true" outlineLevel="0" collapsed="false">
      <c r="A35" s="15" t="s">
        <v>551</v>
      </c>
      <c r="B35" s="15" t="s">
        <v>345</v>
      </c>
      <c r="C35" s="94" t="str">
        <f aca="false">VLOOKUP(B35,E$2:F$46,2,FALSE())</f>
        <v>Монтаж ГКЛ листов на клею</v>
      </c>
      <c r="D35" s="66" t="n">
        <f aca="false">VLOOKUP(C35,G$2:I$35,3,FALSE())</f>
        <v>4</v>
      </c>
      <c r="E35" s="15" t="s">
        <v>324</v>
      </c>
      <c r="F35" s="93" t="s">
        <v>201</v>
      </c>
      <c r="G35" s="15"/>
      <c r="H35" s="15" t="s">
        <v>670</v>
      </c>
      <c r="J35" s="15"/>
    </row>
    <row r="36" customFormat="false" ht="15.75" hidden="false" customHeight="true" outlineLevel="0" collapsed="false">
      <c r="A36" s="15" t="s">
        <v>557</v>
      </c>
      <c r="B36" s="15" t="s">
        <v>261</v>
      </c>
      <c r="C36" s="94" t="str">
        <f aca="false">F13</f>
        <v>Устройство каркаса и монтаж ГКЛ с виброизол. лентой + утеплитель</v>
      </c>
      <c r="D36" s="66" t="n">
        <f aca="false">VLOOKUP(C36,G$2:I$35,3,FALSE())</f>
        <v>9</v>
      </c>
      <c r="E36" s="15" t="s">
        <v>291</v>
      </c>
      <c r="F36" s="93" t="s">
        <v>168</v>
      </c>
      <c r="G36" s="15"/>
      <c r="H36" s="15" t="s">
        <v>671</v>
      </c>
      <c r="J36" s="16"/>
    </row>
    <row r="37" customFormat="false" ht="15" hidden="false" customHeight="true" outlineLevel="0" collapsed="false">
      <c r="A37" s="15" t="s">
        <v>618</v>
      </c>
      <c r="B37" s="15" t="s">
        <v>411</v>
      </c>
      <c r="C37" s="94" t="str">
        <f aca="false">VLOOKUP(B37,E$2:F$46,2,FALSE())</f>
        <v>Монтаж канализации</v>
      </c>
      <c r="D37" s="66" t="n">
        <f aca="false">VLOOKUP(C37,G$2:I$35,3,FALSE())</f>
        <v>200</v>
      </c>
      <c r="E37" s="15" t="s">
        <v>231</v>
      </c>
      <c r="F37" s="93" t="s">
        <v>168</v>
      </c>
      <c r="H37" s="7" t="s">
        <v>672</v>
      </c>
      <c r="J37" s="89"/>
    </row>
    <row r="38" customFormat="false" ht="15" hidden="false" customHeight="true" outlineLevel="0" collapsed="false">
      <c r="A38" s="15" t="s">
        <v>673</v>
      </c>
      <c r="B38" s="15" t="s">
        <v>345</v>
      </c>
      <c r="C38" s="94" t="str">
        <f aca="false">VLOOKUP(B38,E$2:F$46,2,FALSE())</f>
        <v>Монтаж ГКЛ листов на клею</v>
      </c>
      <c r="D38" s="66" t="n">
        <f aca="false">VLOOKUP(C38,G$2:I$35,3,FALSE())</f>
        <v>4</v>
      </c>
      <c r="E38" s="15" t="s">
        <v>166</v>
      </c>
      <c r="F38" s="93" t="s">
        <v>166</v>
      </c>
      <c r="H38" s="101" t="s">
        <v>674</v>
      </c>
      <c r="J38" s="89"/>
    </row>
    <row r="39" customFormat="false" ht="15" hidden="false" customHeight="true" outlineLevel="0" collapsed="false">
      <c r="A39" s="15" t="s">
        <v>602</v>
      </c>
      <c r="B39" s="76" t="s">
        <v>660</v>
      </c>
      <c r="C39" s="94" t="s">
        <v>660</v>
      </c>
      <c r="D39" s="66" t="n">
        <f aca="false">VLOOKUP(C39,G$2:I$35,3,FALSE())</f>
        <v>11</v>
      </c>
      <c r="E39" s="76" t="s">
        <v>182</v>
      </c>
      <c r="F39" s="93" t="s">
        <v>182</v>
      </c>
      <c r="H39" s="102" t="s">
        <v>675</v>
      </c>
      <c r="J39" s="89"/>
    </row>
    <row r="40" customFormat="false" ht="15" hidden="false" customHeight="true" outlineLevel="0" collapsed="false">
      <c r="A40" s="15" t="s">
        <v>567</v>
      </c>
      <c r="B40" s="15" t="s">
        <v>355</v>
      </c>
      <c r="C40" s="94" t="str">
        <f aca="false">F12</f>
        <v>Устройство каркаса и монтаж ГКЛ с виброизол. лентой без утепл.</v>
      </c>
      <c r="D40" s="66" t="n">
        <f aca="false">VLOOKUP(C40,G$2:I$35,3,FALSE())</f>
        <v>8</v>
      </c>
      <c r="E40" s="42" t="s">
        <v>662</v>
      </c>
      <c r="F40" s="93" t="s">
        <v>647</v>
      </c>
      <c r="H40" s="7" t="s">
        <v>676</v>
      </c>
      <c r="I40" s="16"/>
      <c r="J40" s="89"/>
    </row>
    <row r="41" customFormat="false" ht="15" hidden="false" customHeight="true" outlineLevel="0" collapsed="false">
      <c r="A41" s="15" t="s">
        <v>585</v>
      </c>
      <c r="B41" s="15" t="s">
        <v>343</v>
      </c>
      <c r="C41" s="94" t="str">
        <f aca="false">F13</f>
        <v>Устройство каркаса и монтаж ГКЛ с виброизол. лентой + утеплитель</v>
      </c>
      <c r="D41" s="66" t="n">
        <f aca="false">VLOOKUP(C41,G$2:I$35,3,FALSE())</f>
        <v>9</v>
      </c>
      <c r="E41" s="76" t="s">
        <v>668</v>
      </c>
      <c r="F41" s="93" t="s">
        <v>668</v>
      </c>
      <c r="H41" s="15" t="s">
        <v>677</v>
      </c>
      <c r="I41" s="16"/>
      <c r="J41" s="91"/>
    </row>
    <row r="42" customFormat="false" ht="15" hidden="false" customHeight="true" outlineLevel="0" collapsed="false">
      <c r="A42" s="15" t="s">
        <v>535</v>
      </c>
      <c r="B42" s="42" t="s">
        <v>662</v>
      </c>
      <c r="C42" s="94" t="str">
        <f aca="false">VLOOKUP(B42,E$2:F$46,2,FALSE())</f>
        <v>Поклейка холста (стены)</v>
      </c>
      <c r="D42" s="66" t="n">
        <f aca="false">VLOOKUP(C42,G$2:I$35,3,FALSE())</f>
        <v>2</v>
      </c>
      <c r="E42" s="15" t="s">
        <v>601</v>
      </c>
      <c r="F42" s="93" t="s">
        <v>660</v>
      </c>
      <c r="H42" s="15" t="s">
        <v>678</v>
      </c>
      <c r="I42" s="16"/>
      <c r="J42" s="71"/>
    </row>
    <row r="43" customFormat="false" ht="15" hidden="false" customHeight="true" outlineLevel="0" collapsed="false">
      <c r="A43" s="15" t="s">
        <v>583</v>
      </c>
      <c r="B43" s="15" t="s">
        <v>345</v>
      </c>
      <c r="C43" s="94" t="str">
        <f aca="false">VLOOKUP(B43,E$2:F$46,2,FALSE())</f>
        <v>Монтаж ГКЛ листов на клею</v>
      </c>
      <c r="D43" s="66" t="n">
        <f aca="false">VLOOKUP(C43,G$2:I$35,3,FALSE())</f>
        <v>4</v>
      </c>
      <c r="E43" s="15" t="s">
        <v>602</v>
      </c>
      <c r="F43" s="93" t="s">
        <v>660</v>
      </c>
      <c r="H43" s="30"/>
      <c r="I43" s="16"/>
      <c r="J43" s="71"/>
    </row>
    <row r="44" customFormat="false" ht="15" hidden="false" customHeight="true" outlineLevel="0" collapsed="false">
      <c r="A44" s="15" t="s">
        <v>584</v>
      </c>
      <c r="B44" s="15" t="s">
        <v>669</v>
      </c>
      <c r="C44" s="94" t="str">
        <f aca="false">VLOOKUP(B44,E$2:F$46,2,FALSE())</f>
        <v>Кладка перегородки из пеноблока</v>
      </c>
      <c r="D44" s="66" t="n">
        <f aca="false">VLOOKUP(C44,G$2:I$35,3,FALSE())</f>
        <v>15</v>
      </c>
      <c r="E44" s="76" t="s">
        <v>679</v>
      </c>
      <c r="F44" s="93" t="s">
        <v>201</v>
      </c>
      <c r="H44" s="30"/>
      <c r="I44" s="16"/>
      <c r="J44" s="71"/>
    </row>
    <row r="45" customFormat="false" ht="15" hidden="false" customHeight="true" outlineLevel="0" collapsed="false">
      <c r="A45" s="15" t="s">
        <v>578</v>
      </c>
      <c r="B45" s="15" t="s">
        <v>215</v>
      </c>
      <c r="C45" s="94" t="s">
        <v>168</v>
      </c>
      <c r="D45" s="66" t="n">
        <f aca="false">VLOOKUP(C45,G$2:I$35,3,FALSE())</f>
        <v>3</v>
      </c>
      <c r="E45" s="76" t="s">
        <v>188</v>
      </c>
      <c r="F45" s="93" t="s">
        <v>188</v>
      </c>
      <c r="H45" s="30"/>
      <c r="I45" s="16"/>
      <c r="J45" s="71"/>
    </row>
    <row r="46" customFormat="false" ht="15" hidden="false" customHeight="true" outlineLevel="0" collapsed="false">
      <c r="A46" s="15" t="s">
        <v>555</v>
      </c>
      <c r="B46" s="15" t="s">
        <v>556</v>
      </c>
      <c r="C46" s="94" t="str">
        <f aca="false">VLOOKUP(B46,E$2:F$46,2,FALSE())</f>
        <v>Облицовка оконных откосов гипсокартоном </v>
      </c>
      <c r="D46" s="66" t="n">
        <f aca="false">VLOOKUP(C46,G$2:I$35,3,FALSE())</f>
        <v>10</v>
      </c>
      <c r="E46" s="15" t="s">
        <v>669</v>
      </c>
      <c r="F46" s="69" t="s">
        <v>669</v>
      </c>
      <c r="H46" s="30"/>
      <c r="I46" s="16"/>
      <c r="J46" s="71"/>
    </row>
    <row r="47" customFormat="false" ht="15" hidden="false" customHeight="true" outlineLevel="0" collapsed="false">
      <c r="A47" s="15" t="s">
        <v>586</v>
      </c>
      <c r="B47" s="15" t="s">
        <v>178</v>
      </c>
      <c r="C47" s="94" t="str">
        <f aca="false">VLOOKUP(B47,E$2:F$46,2,FALSE())</f>
        <v>Ремонт оконных откосов</v>
      </c>
      <c r="D47" s="66" t="n">
        <f aca="false">VLOOKUP(C47,G$2:I$35,3,FALSE())</f>
        <v>15</v>
      </c>
      <c r="E47" s="15" t="s">
        <v>163</v>
      </c>
      <c r="F47" s="93" t="str">
        <f aca="false">G19</f>
        <v>Проклейка армирующей ленты на стыки ГКЛ и на примыкания стен и потолка</v>
      </c>
      <c r="H47" s="30"/>
      <c r="I47" s="16"/>
      <c r="J47" s="71"/>
    </row>
    <row r="48" customFormat="false" ht="15" hidden="false" customHeight="true" outlineLevel="0" collapsed="false">
      <c r="A48" s="15" t="s">
        <v>615</v>
      </c>
      <c r="B48" s="15" t="s">
        <v>409</v>
      </c>
      <c r="C48" s="94" t="str">
        <f aca="false">VLOOKUP(B48,E$2:F$46,2,FALSE())</f>
        <v>Опрессовка труб в ванной</v>
      </c>
      <c r="D48" s="66" t="n">
        <f aca="false">VLOOKUP(C48,G$2:I$35,3,FALSE())</f>
        <v>35</v>
      </c>
      <c r="F48" s="93"/>
      <c r="H48" s="88"/>
      <c r="I48" s="89"/>
      <c r="J48" s="71"/>
    </row>
    <row r="49" customFormat="false" ht="15" hidden="false" customHeight="true" outlineLevel="0" collapsed="false">
      <c r="A49" s="15" t="s">
        <v>680</v>
      </c>
      <c r="B49" s="15" t="s">
        <v>258</v>
      </c>
      <c r="C49" s="94" t="str">
        <f aca="false">VLOOKUP(B49,E$2:F$46,2,FALSE())</f>
        <v>Облицовка оконных откосов гипсокартоном </v>
      </c>
      <c r="D49" s="66" t="n">
        <f aca="false">VLOOKUP(C49,G$2:I$35,3,FALSE())</f>
        <v>10</v>
      </c>
      <c r="H49" s="30"/>
      <c r="I49" s="16"/>
      <c r="J49" s="71"/>
    </row>
    <row r="50" customFormat="false" ht="15" hidden="false" customHeight="true" outlineLevel="0" collapsed="false">
      <c r="A50" s="15" t="s">
        <v>77</v>
      </c>
      <c r="B50" s="15" t="s">
        <v>258</v>
      </c>
      <c r="C50" s="94" t="str">
        <f aca="false">VLOOKUP(B50,E$2:F$46,2,FALSE())</f>
        <v>Облицовка оконных откосов гипсокартоном </v>
      </c>
      <c r="D50" s="66" t="n">
        <f aca="false">VLOOKUP(C50,G$2:I$35,3,FALSE())</f>
        <v>10</v>
      </c>
      <c r="H50" s="30"/>
      <c r="I50" s="16"/>
      <c r="J50" s="71"/>
    </row>
    <row r="51" customFormat="false" ht="15" hidden="false" customHeight="true" outlineLevel="0" collapsed="false">
      <c r="A51" s="15" t="s">
        <v>558</v>
      </c>
      <c r="B51" s="15" t="s">
        <v>558</v>
      </c>
      <c r="C51" s="94" t="n">
        <f aca="false">VLOOKUP(B51,E$2:F$46,2,FALSE())</f>
        <v>0</v>
      </c>
      <c r="D51" s="66" t="e">
        <f aca="false">VLOOKUP(C51,G$2:I$35,3,FALSE())</f>
        <v>#N/A</v>
      </c>
      <c r="H51" s="30"/>
      <c r="I51" s="16"/>
      <c r="J51" s="71"/>
    </row>
    <row r="52" customFormat="false" ht="15" hidden="false" customHeight="true" outlineLevel="0" collapsed="false">
      <c r="A52" s="15" t="s">
        <v>616</v>
      </c>
      <c r="B52" s="15" t="s">
        <v>616</v>
      </c>
      <c r="C52" s="94" t="n">
        <f aca="false">VLOOKUP(B52,E$2:F$46,2,FALSE())</f>
        <v>0</v>
      </c>
      <c r="D52" s="66" t="e">
        <f aca="false">VLOOKUP(C52,G$2:I$35,3,FALSE())</f>
        <v>#N/A</v>
      </c>
      <c r="H52" s="30"/>
      <c r="I52" s="16"/>
      <c r="J52" s="71"/>
    </row>
    <row r="53" customFormat="false" ht="15" hidden="false" customHeight="true" outlineLevel="0" collapsed="false">
      <c r="A53" s="15" t="s">
        <v>681</v>
      </c>
      <c r="B53" s="15" t="s">
        <v>174</v>
      </c>
      <c r="C53" s="94" t="str">
        <f aca="false">VLOOKUP(B53,E$2:F$46,2,FALSE())</f>
        <v>Покраска стен 1 слой</v>
      </c>
      <c r="D53" s="66" t="n">
        <f aca="false">VLOOKUP(C53,G$2:I$35,3,FALSE())</f>
        <v>1</v>
      </c>
    </row>
    <row r="54" customFormat="false" ht="15" hidden="false" customHeight="true" outlineLevel="0" collapsed="false">
      <c r="A54" s="15" t="s">
        <v>403</v>
      </c>
      <c r="B54" s="15" t="s">
        <v>175</v>
      </c>
      <c r="C54" s="94" t="str">
        <f aca="false">VLOOKUP(B54,E$2:F$46,2,FALSE())</f>
        <v>Покраска потолка 1 слой</v>
      </c>
      <c r="D54" s="66" t="n">
        <f aca="false">VLOOKUP(C54,G$2:I$35,3,FALSE())</f>
        <v>1.5</v>
      </c>
    </row>
    <row r="55" customFormat="false" ht="15" hidden="false" customHeight="true" outlineLevel="0" collapsed="false">
      <c r="A55" s="15" t="s">
        <v>175</v>
      </c>
      <c r="B55" s="15" t="s">
        <v>175</v>
      </c>
      <c r="C55" s="94" t="str">
        <f aca="false">VLOOKUP(B55,E$2:F$46,2,FALSE())</f>
        <v>Покраска потолка 1 слой</v>
      </c>
      <c r="D55" s="66" t="n">
        <f aca="false">VLOOKUP(C55,G$2:I$35,3,FALSE())</f>
        <v>1.5</v>
      </c>
    </row>
    <row r="56" customFormat="false" ht="15" hidden="false" customHeight="true" outlineLevel="0" collapsed="false">
      <c r="A56" s="15" t="s">
        <v>512</v>
      </c>
      <c r="B56" s="15" t="s">
        <v>175</v>
      </c>
      <c r="C56" s="94" t="str">
        <f aca="false">VLOOKUP(B56,E$2:F$46,2,FALSE())</f>
        <v>Покраска потолка 1 слой</v>
      </c>
      <c r="D56" s="66" t="n">
        <f aca="false">VLOOKUP(C56,G$2:I$35,3,FALSE())</f>
        <v>1.5</v>
      </c>
    </row>
    <row r="57" customFormat="false" ht="15" hidden="false" customHeight="true" outlineLevel="0" collapsed="false">
      <c r="A57" s="15" t="s">
        <v>682</v>
      </c>
      <c r="B57" s="15" t="s">
        <v>175</v>
      </c>
      <c r="C57" s="94" t="str">
        <f aca="false">VLOOKUP(B57,E$2:F$46,2,FALSE())</f>
        <v>Покраска потолка 1 слой</v>
      </c>
      <c r="D57" s="66" t="n">
        <f aca="false">VLOOKUP(C57,G$2:I$35,3,FALSE())</f>
        <v>1.5</v>
      </c>
    </row>
    <row r="58" customFormat="false" ht="15" hidden="false" customHeight="true" outlineLevel="0" collapsed="false">
      <c r="A58" s="15" t="s">
        <v>440</v>
      </c>
      <c r="B58" s="15" t="s">
        <v>440</v>
      </c>
      <c r="C58" s="94" t="s">
        <v>651</v>
      </c>
      <c r="D58" s="66" t="n">
        <f aca="false">VLOOKUP(C58,G$2:I$35,3,FALSE())</f>
        <v>1.5</v>
      </c>
    </row>
    <row r="59" customFormat="false" ht="15" hidden="false" customHeight="true" outlineLevel="0" collapsed="false">
      <c r="A59" s="15" t="s">
        <v>174</v>
      </c>
      <c r="B59" s="15" t="s">
        <v>174</v>
      </c>
      <c r="C59" s="94" t="str">
        <f aca="false">VLOOKUP(B59,E$2:F$46,2,FALSE())</f>
        <v>Покраска стен 1 слой</v>
      </c>
      <c r="D59" s="66" t="n">
        <f aca="false">VLOOKUP(C59,G$2:I$35,3,FALSE())</f>
        <v>1</v>
      </c>
    </row>
    <row r="60" customFormat="false" ht="15" hidden="false" customHeight="true" outlineLevel="0" collapsed="false">
      <c r="A60" s="15" t="s">
        <v>683</v>
      </c>
      <c r="B60" s="15" t="s">
        <v>174</v>
      </c>
      <c r="C60" s="94" t="str">
        <f aca="false">VLOOKUP(B60,E$2:F$46,2,FALSE())</f>
        <v>Покраска стен 1 слой</v>
      </c>
      <c r="D60" s="66" t="n">
        <f aca="false">VLOOKUP(C60,G$2:I$35,3,FALSE())</f>
        <v>1</v>
      </c>
    </row>
    <row r="61" customFormat="false" ht="15" hidden="false" customHeight="true" outlineLevel="0" collapsed="false">
      <c r="A61" s="15" t="s">
        <v>529</v>
      </c>
      <c r="B61" s="15" t="s">
        <v>174</v>
      </c>
      <c r="C61" s="94" t="str">
        <f aca="false">VLOOKUP(B61,E$2:F$46,2,FALSE())</f>
        <v>Покраска стен 1 слой</v>
      </c>
      <c r="D61" s="66" t="n">
        <f aca="false">VLOOKUP(C61,G$2:I$35,3,FALSE())</f>
        <v>1</v>
      </c>
    </row>
    <row r="62" customFormat="false" ht="15" hidden="false" customHeight="true" outlineLevel="0" collapsed="false">
      <c r="A62" s="15" t="s">
        <v>593</v>
      </c>
      <c r="B62" s="15" t="s">
        <v>174</v>
      </c>
      <c r="C62" s="94" t="str">
        <f aca="false">VLOOKUP(B62,E$2:F$46,2,FALSE())</f>
        <v>Покраска стен 1 слой</v>
      </c>
      <c r="D62" s="66" t="n">
        <f aca="false">VLOOKUP(C62,G$2:I$35,3,FALSE())</f>
        <v>1</v>
      </c>
    </row>
    <row r="63" customFormat="false" ht="15" hidden="false" customHeight="true" outlineLevel="0" collapsed="false">
      <c r="A63" s="15" t="s">
        <v>658</v>
      </c>
      <c r="B63" s="15" t="s">
        <v>658</v>
      </c>
      <c r="C63" s="94" t="str">
        <f aca="false">VLOOKUP(B63,E$2:F$46,2,FALSE())</f>
        <v>Покраска стен 1 слой</v>
      </c>
      <c r="D63" s="66" t="n">
        <f aca="false">VLOOKUP(C63,G$2:I$35,3,FALSE())</f>
        <v>1</v>
      </c>
    </row>
    <row r="64" customFormat="false" ht="15" hidden="false" customHeight="true" outlineLevel="0" collapsed="false">
      <c r="A64" s="15" t="s">
        <v>684</v>
      </c>
      <c r="B64" s="15" t="s">
        <v>174</v>
      </c>
      <c r="C64" s="94" t="str">
        <f aca="false">VLOOKUP(B64,E$2:F$46,2,FALSE())</f>
        <v>Покраска стен 1 слой</v>
      </c>
      <c r="D64" s="66" t="n">
        <f aca="false">VLOOKUP(C64,G$2:I$35,3,FALSE())</f>
        <v>1</v>
      </c>
    </row>
    <row r="65" customFormat="false" ht="15" hidden="false" customHeight="true" outlineLevel="0" collapsed="false">
      <c r="A65" s="15" t="s">
        <v>590</v>
      </c>
      <c r="B65" s="15" t="s">
        <v>174</v>
      </c>
      <c r="C65" s="94" t="str">
        <f aca="false">VLOOKUP(B65,E$2:F$46,2,FALSE())</f>
        <v>Покраска стен 1 слой</v>
      </c>
      <c r="D65" s="66" t="n">
        <f aca="false">VLOOKUP(C65,G$2:I$35,3,FALSE())</f>
        <v>1</v>
      </c>
    </row>
    <row r="66" customFormat="false" ht="15" hidden="false" customHeight="true" outlineLevel="0" collapsed="false">
      <c r="A66" s="15" t="s">
        <v>685</v>
      </c>
      <c r="B66" s="15" t="s">
        <v>178</v>
      </c>
      <c r="C66" s="94" t="str">
        <f aca="false">VLOOKUP(B66,E$2:F$46,2,FALSE())</f>
        <v>Ремонт оконных откосов</v>
      </c>
      <c r="D66" s="66" t="n">
        <f aca="false">VLOOKUP(C66,G$2:I$35,3,FALSE())</f>
        <v>15</v>
      </c>
    </row>
    <row r="67" customFormat="false" ht="15" hidden="false" customHeight="true" outlineLevel="0" collapsed="false">
      <c r="A67" s="15" t="s">
        <v>560</v>
      </c>
      <c r="B67" s="15" t="s">
        <v>178</v>
      </c>
      <c r="C67" s="94" t="str">
        <f aca="false">VLOOKUP(B67,E$2:F$46,2,FALSE())</f>
        <v>Ремонт оконных откосов</v>
      </c>
      <c r="D67" s="66" t="n">
        <f aca="false">VLOOKUP(C67,G$2:I$35,3,FALSE())</f>
        <v>15</v>
      </c>
    </row>
    <row r="68" customFormat="false" ht="15" hidden="false" customHeight="true" outlineLevel="0" collapsed="false">
      <c r="A68" s="15" t="s">
        <v>612</v>
      </c>
      <c r="B68" s="15" t="s">
        <v>404</v>
      </c>
      <c r="C68" s="94" t="str">
        <f aca="false">VLOOKUP(B68,E$2:F$46,2,FALSE())</f>
        <v>Пайка ПП труб</v>
      </c>
      <c r="D68" s="66" t="n">
        <f aca="false">VLOOKUP(C68,G$2:I$35,3,FALSE())</f>
        <v>35</v>
      </c>
    </row>
    <row r="69" customFormat="false" ht="15" hidden="false" customHeight="true" outlineLevel="0" collapsed="false">
      <c r="A69" s="15" t="s">
        <v>508</v>
      </c>
      <c r="B69" s="15" t="s">
        <v>253</v>
      </c>
      <c r="C69" s="94" t="str">
        <f aca="false">VLOOKUP(B69,E$2:F$46,2,FALSE())</f>
        <v>Сверление тех. отверстий в потолке</v>
      </c>
      <c r="D69" s="66" t="n">
        <f aca="false">VLOOKUP(C69,G$2:I$35,3,FALSE())</f>
        <v>0.5</v>
      </c>
    </row>
    <row r="70" customFormat="false" ht="15" hidden="false" customHeight="true" outlineLevel="0" collapsed="false">
      <c r="A70" s="15" t="s">
        <v>407</v>
      </c>
      <c r="B70" s="15" t="s">
        <v>407</v>
      </c>
      <c r="C70" s="94" t="str">
        <f aca="false">VLOOKUP(B70,E$2:F$46,2,FALSE())</f>
        <v>Сверление тех. отверстий в потолке</v>
      </c>
      <c r="D70" s="66" t="n">
        <f aca="false">VLOOKUP(C70,G$2:I$35,3,FALSE())</f>
        <v>0.5</v>
      </c>
    </row>
    <row r="71" customFormat="false" ht="15" hidden="false" customHeight="true" outlineLevel="0" collapsed="false">
      <c r="A71" s="95" t="s">
        <v>686</v>
      </c>
      <c r="B71" s="15" t="s">
        <v>170</v>
      </c>
      <c r="C71" s="94" t="str">
        <f aca="false">VLOOKUP(B71,E$2:F$46,2,FALSE())</f>
        <v>Установка перфорированого угла</v>
      </c>
      <c r="D71" s="66" t="n">
        <f aca="false">VLOOKUP(C71,G$2:I$35,3,FALSE())</f>
        <v>2.5</v>
      </c>
    </row>
    <row r="72" customFormat="false" ht="15" hidden="false" customHeight="true" outlineLevel="0" collapsed="false">
      <c r="A72" s="15" t="s">
        <v>363</v>
      </c>
      <c r="B72" s="15" t="s">
        <v>363</v>
      </c>
      <c r="C72" s="94" t="str">
        <f aca="false">VLOOKUP(B72,E$2:F$46,2,FALSE())</f>
        <v>Усиление дверного проёма деревянным брусом</v>
      </c>
      <c r="D72" s="66" t="n">
        <f aca="false">VLOOKUP(C72,G$2:I$35,3,FALSE())</f>
        <v>15</v>
      </c>
    </row>
    <row r="73" customFormat="false" ht="15" hidden="false" customHeight="true" outlineLevel="0" collapsed="false">
      <c r="A73" s="15" t="s">
        <v>687</v>
      </c>
      <c r="B73" s="15" t="s">
        <v>170</v>
      </c>
      <c r="C73" s="94" t="str">
        <f aca="false">VLOOKUP(B73,E$2:F$46,2,FALSE())</f>
        <v>Установка перфорированого угла</v>
      </c>
      <c r="D73" s="66" t="n">
        <f aca="false">VLOOKUP(C73,G$2:I$35,3,FALSE())</f>
        <v>2.5</v>
      </c>
    </row>
    <row r="74" customFormat="false" ht="15" hidden="false" customHeight="true" outlineLevel="0" collapsed="false">
      <c r="A74" s="15" t="s">
        <v>170</v>
      </c>
      <c r="B74" s="15" t="s">
        <v>170</v>
      </c>
      <c r="C74" s="94" t="str">
        <f aca="false">VLOOKUP(B74,E$2:F$46,2,FALSE())</f>
        <v>Установка перфорированого угла</v>
      </c>
      <c r="D74" s="66" t="n">
        <f aca="false">VLOOKUP(C74,G$2:I$35,3,FALSE())</f>
        <v>2.5</v>
      </c>
    </row>
    <row r="75" customFormat="false" ht="15" hidden="false" customHeight="true" outlineLevel="0" collapsed="false">
      <c r="A75" s="15" t="s">
        <v>561</v>
      </c>
      <c r="B75" s="15" t="s">
        <v>307</v>
      </c>
      <c r="C75" s="94" t="str">
        <f aca="false">VLOOKUP(B75,E$2:F$46,2,FALSE())</f>
        <v>Проклейка армирующей ленты на стыки ГКЛ и на примыкания стен и потолка</v>
      </c>
      <c r="D75" s="66" t="n">
        <f aca="false">VLOOKUP(C75,G$2:I$35,3,FALSE())</f>
        <v>2</v>
      </c>
    </row>
    <row r="76" customFormat="false" ht="15" hidden="false" customHeight="true" outlineLevel="0" collapsed="false">
      <c r="A76" s="15" t="s">
        <v>525</v>
      </c>
      <c r="B76" s="15" t="s">
        <v>276</v>
      </c>
      <c r="C76" s="94" t="str">
        <f aca="false">VLOOKUP(B76,E$2:F$46,2,FALSE())</f>
        <v>Шпатлевка стен</v>
      </c>
      <c r="D76" s="66" t="n">
        <f aca="false">VLOOKUP(C76,G$2:I$35,3,FALSE())</f>
        <v>3</v>
      </c>
    </row>
    <row r="77" customFormat="false" ht="15" hidden="false" customHeight="true" outlineLevel="0" collapsed="false">
      <c r="A77" s="15" t="s">
        <v>536</v>
      </c>
      <c r="B77" s="15" t="s">
        <v>536</v>
      </c>
      <c r="C77" s="94" t="str">
        <f aca="false">VLOOKUP(B77,E$2:F$46,2,FALSE())</f>
        <v>Шпатлевка стен</v>
      </c>
      <c r="D77" s="66" t="n">
        <f aca="false">VLOOKUP(C77,G$2:I$35,3,FALSE())</f>
        <v>3</v>
      </c>
    </row>
    <row r="78" customFormat="false" ht="15" hidden="false" customHeight="true" outlineLevel="0" collapsed="false">
      <c r="A78" s="15" t="s">
        <v>322</v>
      </c>
      <c r="B78" s="15" t="s">
        <v>322</v>
      </c>
      <c r="C78" s="94" t="str">
        <f aca="false">VLOOKUP(B78,E$2:F$46,2,FALSE())</f>
        <v>Штукатурка прямолинейных откосов и проемов</v>
      </c>
      <c r="D78" s="66" t="n">
        <f aca="false">VLOOKUP(C78,G$2:I$35,3,FALSE())</f>
        <v>6</v>
      </c>
    </row>
    <row r="79" customFormat="false" ht="15" hidden="false" customHeight="true" outlineLevel="0" collapsed="false">
      <c r="A79" s="15" t="s">
        <v>324</v>
      </c>
      <c r="B79" s="15" t="s">
        <v>324</v>
      </c>
      <c r="C79" s="94" t="str">
        <f aca="false">VLOOKUP(B79,E$2:F$46,2,FALSE())</f>
        <v>Штукатурка прямолинейных откосов и проемов</v>
      </c>
      <c r="D79" s="66" t="n">
        <f aca="false">VLOOKUP(C79,G$2:I$35,3,FALSE())</f>
        <v>6</v>
      </c>
    </row>
    <row r="80" customFormat="false" ht="15" hidden="false" customHeight="true" outlineLevel="0" collapsed="false">
      <c r="A80" s="15" t="s">
        <v>291</v>
      </c>
      <c r="B80" s="15" t="s">
        <v>291</v>
      </c>
      <c r="C80" s="94" t="str">
        <f aca="false">VLOOKUP(B80,E$2:F$46,2,FALSE())</f>
        <v>Шпатлевка стен</v>
      </c>
      <c r="D80" s="66" t="n">
        <f aca="false">VLOOKUP(C80,G$2:I$35,3,FALSE())</f>
        <v>3</v>
      </c>
    </row>
    <row r="81" customFormat="false" ht="15" hidden="false" customHeight="true" outlineLevel="0" collapsed="false">
      <c r="A81" s="15" t="s">
        <v>231</v>
      </c>
      <c r="B81" s="15" t="s">
        <v>231</v>
      </c>
      <c r="C81" s="94" t="str">
        <f aca="false">VLOOKUP(B81,E$2:F$46,2,FALSE())</f>
        <v>Шпатлевка стен</v>
      </c>
      <c r="D81" s="66" t="n">
        <f aca="false">VLOOKUP(C81,G$2:I$35,3,FALSE())</f>
        <v>3</v>
      </c>
    </row>
    <row r="82" customFormat="false" ht="15" hidden="false" customHeight="true" outlineLevel="0" collapsed="false">
      <c r="A82" s="15" t="s">
        <v>580</v>
      </c>
      <c r="B82" s="15" t="s">
        <v>231</v>
      </c>
      <c r="C82" s="94" t="str">
        <f aca="false">VLOOKUP(B82,E$2:F$46,2,FALSE())</f>
        <v>Шпатлевка стен</v>
      </c>
      <c r="D82" s="66" t="n">
        <f aca="false">VLOOKUP(C82,G$2:I$35,3,FALSE())</f>
        <v>3</v>
      </c>
    </row>
    <row r="83" customFormat="false" ht="15" hidden="false" customHeight="true" outlineLevel="0" collapsed="false">
      <c r="A83" s="15" t="s">
        <v>688</v>
      </c>
      <c r="B83" s="15" t="s">
        <v>231</v>
      </c>
      <c r="C83" s="94" t="str">
        <f aca="false">VLOOKUP(B83,E$2:F$46,2,FALSE())</f>
        <v>Шпатлевка стен</v>
      </c>
      <c r="D83" s="66" t="n">
        <f aca="false">VLOOKUP(C83,G$2:I$35,3,FALSE())</f>
        <v>3</v>
      </c>
    </row>
    <row r="84" customFormat="false" ht="15" hidden="false" customHeight="true" outlineLevel="0" collapsed="false">
      <c r="A84" s="15" t="s">
        <v>689</v>
      </c>
      <c r="B84" s="15" t="s">
        <v>231</v>
      </c>
      <c r="C84" s="94" t="str">
        <f aca="false">VLOOKUP(B84,E$2:F$46,2,FALSE())</f>
        <v>Шпатлевка стен</v>
      </c>
      <c r="D84" s="66" t="n">
        <f aca="false">VLOOKUP(C84,G$2:I$35,3,FALSE())</f>
        <v>3</v>
      </c>
    </row>
    <row r="85" customFormat="false" ht="15" hidden="false" customHeight="true" outlineLevel="0" collapsed="false">
      <c r="A85" s="15" t="s">
        <v>547</v>
      </c>
      <c r="B85" s="15" t="s">
        <v>231</v>
      </c>
      <c r="C85" s="94" t="str">
        <f aca="false">VLOOKUP(B85,E$2:F$46,2,FALSE())</f>
        <v>Шпатлевка стен</v>
      </c>
      <c r="D85" s="66" t="n">
        <f aca="false">VLOOKUP(C85,G$2:I$35,3,FALSE())</f>
        <v>3</v>
      </c>
    </row>
    <row r="86" customFormat="false" ht="15" hidden="false" customHeight="true" outlineLevel="0" collapsed="false">
      <c r="A86" s="95" t="s">
        <v>690</v>
      </c>
      <c r="B86" s="15" t="s">
        <v>231</v>
      </c>
      <c r="C86" s="94" t="str">
        <f aca="false">VLOOKUP(B86,E$2:F$46,2,FALSE())</f>
        <v>Шпатлевка стен</v>
      </c>
      <c r="D86" s="66" t="n">
        <f aca="false">VLOOKUP(C86,G$2:I$35,3,FALSE())</f>
        <v>3</v>
      </c>
    </row>
    <row r="87" customFormat="false" ht="15" hidden="false" customHeight="true" outlineLevel="0" collapsed="false">
      <c r="A87" s="95" t="s">
        <v>691</v>
      </c>
      <c r="B87" s="15" t="s">
        <v>231</v>
      </c>
      <c r="C87" s="94" t="str">
        <f aca="false">VLOOKUP(B87,E$2:F$46,2,FALSE())</f>
        <v>Шпатлевка стен</v>
      </c>
      <c r="D87" s="66" t="n">
        <f aca="false">VLOOKUP(C87,G$2:I$35,3,FALSE())</f>
        <v>3</v>
      </c>
    </row>
    <row r="88" customFormat="false" ht="15" hidden="false" customHeight="true" outlineLevel="0" collapsed="false">
      <c r="A88" s="15" t="s">
        <v>605</v>
      </c>
      <c r="B88" s="15" t="s">
        <v>166</v>
      </c>
      <c r="C88" s="94" t="str">
        <f aca="false">VLOOKUP(B88,E$2:F$46,2,FALSE())</f>
        <v>Шпатлевка потолка</v>
      </c>
      <c r="D88" s="66" t="n">
        <f aca="false">VLOOKUP(C88,G$2:I$35,3,FALSE())</f>
        <v>4</v>
      </c>
    </row>
    <row r="89" customFormat="false" ht="15" hidden="false" customHeight="true" outlineLevel="0" collapsed="false">
      <c r="A89" s="15" t="s">
        <v>606</v>
      </c>
      <c r="B89" s="15" t="s">
        <v>166</v>
      </c>
      <c r="C89" s="94" t="str">
        <f aca="false">VLOOKUP(B89,E$2:F$46,2,FALSE())</f>
        <v>Шпатлевка потолка</v>
      </c>
      <c r="D89" s="66" t="n">
        <f aca="false">VLOOKUP(C89,G$2:I$35,3,FALSE())</f>
        <v>4</v>
      </c>
    </row>
    <row r="90" customFormat="false" ht="15" hidden="false" customHeight="true" outlineLevel="0" collapsed="false">
      <c r="A90" s="76" t="s">
        <v>679</v>
      </c>
      <c r="B90" s="76" t="s">
        <v>201</v>
      </c>
      <c r="C90" s="94" t="s">
        <v>201</v>
      </c>
      <c r="D90" s="66" t="n">
        <f aca="false">VLOOKUP(C90,G$2:I$35,3,FALSE())</f>
        <v>6</v>
      </c>
    </row>
    <row r="91" customFormat="false" ht="15" hidden="false" customHeight="true" outlineLevel="0" collapsed="false">
      <c r="A91" s="76" t="s">
        <v>692</v>
      </c>
      <c r="B91" s="76" t="s">
        <v>176</v>
      </c>
      <c r="C91" s="94" t="s">
        <v>176</v>
      </c>
      <c r="D91" s="66" t="n">
        <f aca="false">VLOOKUP(C91,G$2:I$35,3,FALSE())</f>
        <v>15</v>
      </c>
    </row>
    <row r="92" customFormat="false" ht="15" hidden="false" customHeight="true" outlineLevel="0" collapsed="false">
      <c r="A92" s="76" t="s">
        <v>423</v>
      </c>
      <c r="B92" s="15" t="s">
        <v>163</v>
      </c>
      <c r="C92" s="94" t="str">
        <f aca="false">VLOOKUP(B92,E$2:F$48,2,FALSE())</f>
        <v>Проклейка армирующей ленты на стыки ГКЛ и на примыкания стен и потолка</v>
      </c>
      <c r="D92" s="66" t="n">
        <f aca="false">VLOOKUP(C92,G$2:I$35,3,FALSE())</f>
        <v>2</v>
      </c>
    </row>
    <row r="93" customFormat="false" ht="12.75" hidden="false" customHeight="true" outlineLevel="0" collapsed="false">
      <c r="D93" s="90"/>
    </row>
    <row r="94" customFormat="false" ht="12.75" hidden="false" customHeight="true" outlineLevel="0" collapsed="false">
      <c r="D94" s="90"/>
    </row>
    <row r="95" customFormat="false" ht="12.75" hidden="false" customHeight="true" outlineLevel="0" collapsed="false">
      <c r="D95" s="90"/>
    </row>
    <row r="96" customFormat="false" ht="12.75" hidden="false" customHeight="true" outlineLevel="0" collapsed="false">
      <c r="D96" s="90"/>
    </row>
    <row r="97" customFormat="false" ht="12.75" hidden="false" customHeight="true" outlineLevel="0" collapsed="false">
      <c r="D97" s="90"/>
    </row>
    <row r="98" customFormat="false" ht="12.75" hidden="false" customHeight="true" outlineLevel="0" collapsed="false">
      <c r="D98" s="90"/>
    </row>
    <row r="99" customFormat="false" ht="12.75" hidden="false" customHeight="true" outlineLevel="0" collapsed="false">
      <c r="D99" s="90"/>
    </row>
    <row r="100" customFormat="false" ht="12.75" hidden="false" customHeight="true" outlineLevel="0" collapsed="false">
      <c r="D100" s="90"/>
    </row>
    <row r="101" customFormat="false" ht="12.75" hidden="false" customHeight="true" outlineLevel="0" collapsed="false">
      <c r="D101" s="90"/>
    </row>
    <row r="102" customFormat="false" ht="12.75" hidden="false" customHeight="true" outlineLevel="0" collapsed="false">
      <c r="D102" s="90"/>
    </row>
    <row r="103" customFormat="false" ht="12.75" hidden="false" customHeight="true" outlineLevel="0" collapsed="false">
      <c r="D103" s="90"/>
    </row>
    <row r="104" customFormat="false" ht="12.75" hidden="false" customHeight="true" outlineLevel="0" collapsed="false">
      <c r="D104" s="90"/>
    </row>
    <row r="105" customFormat="false" ht="12.75" hidden="false" customHeight="true" outlineLevel="0" collapsed="false">
      <c r="D105" s="90"/>
    </row>
    <row r="106" customFormat="false" ht="12.75" hidden="false" customHeight="true" outlineLevel="0" collapsed="false">
      <c r="D106" s="90"/>
    </row>
    <row r="107" customFormat="false" ht="12.75" hidden="false" customHeight="true" outlineLevel="0" collapsed="false">
      <c r="D107" s="90"/>
    </row>
    <row r="108" customFormat="false" ht="12.75" hidden="false" customHeight="true" outlineLevel="0" collapsed="false">
      <c r="D108" s="90"/>
    </row>
    <row r="109" customFormat="false" ht="12.75" hidden="false" customHeight="true" outlineLevel="0" collapsed="false">
      <c r="D109" s="90"/>
    </row>
    <row r="110" customFormat="false" ht="12.75" hidden="false" customHeight="true" outlineLevel="0" collapsed="false">
      <c r="D110" s="90"/>
    </row>
    <row r="111" customFormat="false" ht="12.75" hidden="false" customHeight="true" outlineLevel="0" collapsed="false">
      <c r="D111" s="90"/>
    </row>
    <row r="112" customFormat="false" ht="12.75" hidden="false" customHeight="true" outlineLevel="0" collapsed="false">
      <c r="D112" s="90"/>
    </row>
    <row r="113" customFormat="false" ht="12.75" hidden="false" customHeight="true" outlineLevel="0" collapsed="false">
      <c r="D113" s="90"/>
    </row>
    <row r="114" customFormat="false" ht="12.75" hidden="false" customHeight="true" outlineLevel="0" collapsed="false">
      <c r="D114" s="90"/>
    </row>
    <row r="115" customFormat="false" ht="12.75" hidden="false" customHeight="true" outlineLevel="0" collapsed="false">
      <c r="D115" s="90"/>
    </row>
    <row r="116" customFormat="false" ht="12.75" hidden="false" customHeight="true" outlineLevel="0" collapsed="false">
      <c r="D116" s="90"/>
    </row>
    <row r="117" customFormat="false" ht="12.75" hidden="false" customHeight="true" outlineLevel="0" collapsed="false">
      <c r="D117" s="90"/>
    </row>
    <row r="118" customFormat="false" ht="12.75" hidden="false" customHeight="true" outlineLevel="0" collapsed="false">
      <c r="D118" s="90"/>
    </row>
    <row r="119" customFormat="false" ht="12.75" hidden="false" customHeight="true" outlineLevel="0" collapsed="false">
      <c r="D119" s="90"/>
    </row>
    <row r="120" customFormat="false" ht="12.75" hidden="false" customHeight="true" outlineLevel="0" collapsed="false">
      <c r="D120" s="90"/>
    </row>
    <row r="121" customFormat="false" ht="12.75" hidden="false" customHeight="true" outlineLevel="0" collapsed="false">
      <c r="D121" s="90"/>
    </row>
    <row r="122" customFormat="false" ht="12.75" hidden="false" customHeight="true" outlineLevel="0" collapsed="false">
      <c r="D122" s="90"/>
    </row>
    <row r="123" customFormat="false" ht="12.75" hidden="false" customHeight="true" outlineLevel="0" collapsed="false">
      <c r="D123" s="90"/>
    </row>
    <row r="124" customFormat="false" ht="12.75" hidden="false" customHeight="true" outlineLevel="0" collapsed="false">
      <c r="D124" s="90"/>
    </row>
    <row r="125" customFormat="false" ht="12.75" hidden="false" customHeight="true" outlineLevel="0" collapsed="false">
      <c r="D125" s="90"/>
    </row>
    <row r="126" customFormat="false" ht="12.75" hidden="false" customHeight="true" outlineLevel="0" collapsed="false">
      <c r="D126" s="90"/>
    </row>
    <row r="127" customFormat="false" ht="12.75" hidden="false" customHeight="true" outlineLevel="0" collapsed="false">
      <c r="D127" s="90"/>
    </row>
    <row r="128" customFormat="false" ht="12.75" hidden="false" customHeight="true" outlineLevel="0" collapsed="false">
      <c r="D128" s="90"/>
    </row>
    <row r="129" customFormat="false" ht="12.75" hidden="false" customHeight="true" outlineLevel="0" collapsed="false">
      <c r="D129" s="90"/>
    </row>
    <row r="130" customFormat="false" ht="12.75" hidden="false" customHeight="true" outlineLevel="0" collapsed="false">
      <c r="D130" s="90"/>
    </row>
    <row r="131" customFormat="false" ht="12.75" hidden="false" customHeight="true" outlineLevel="0" collapsed="false">
      <c r="D131" s="90"/>
    </row>
    <row r="132" customFormat="false" ht="12.75" hidden="false" customHeight="true" outlineLevel="0" collapsed="false">
      <c r="D132" s="90"/>
    </row>
    <row r="133" customFormat="false" ht="12.75" hidden="false" customHeight="true" outlineLevel="0" collapsed="false">
      <c r="D133" s="90"/>
    </row>
    <row r="134" customFormat="false" ht="12.75" hidden="false" customHeight="true" outlineLevel="0" collapsed="false">
      <c r="D134" s="90"/>
    </row>
    <row r="135" customFormat="false" ht="12.75" hidden="false" customHeight="true" outlineLevel="0" collapsed="false">
      <c r="D135" s="90"/>
    </row>
    <row r="136" customFormat="false" ht="12.75" hidden="false" customHeight="true" outlineLevel="0" collapsed="false">
      <c r="D136" s="90"/>
    </row>
    <row r="137" customFormat="false" ht="12.75" hidden="false" customHeight="true" outlineLevel="0" collapsed="false">
      <c r="D137" s="90"/>
    </row>
    <row r="138" customFormat="false" ht="12.75" hidden="false" customHeight="true" outlineLevel="0" collapsed="false">
      <c r="D138" s="90"/>
    </row>
    <row r="139" customFormat="false" ht="12.75" hidden="false" customHeight="true" outlineLevel="0" collapsed="false">
      <c r="D139" s="90"/>
    </row>
    <row r="140" customFormat="false" ht="12.75" hidden="false" customHeight="true" outlineLevel="0" collapsed="false">
      <c r="D140" s="90"/>
    </row>
    <row r="141" customFormat="false" ht="12.75" hidden="false" customHeight="true" outlineLevel="0" collapsed="false">
      <c r="D141" s="90"/>
    </row>
    <row r="142" customFormat="false" ht="12.75" hidden="false" customHeight="true" outlineLevel="0" collapsed="false">
      <c r="D142" s="90"/>
    </row>
    <row r="143" customFormat="false" ht="12.75" hidden="false" customHeight="true" outlineLevel="0" collapsed="false">
      <c r="D143" s="90"/>
    </row>
    <row r="144" customFormat="false" ht="12.75" hidden="false" customHeight="true" outlineLevel="0" collapsed="false">
      <c r="D144" s="90"/>
    </row>
    <row r="145" customFormat="false" ht="12.75" hidden="false" customHeight="true" outlineLevel="0" collapsed="false">
      <c r="D145" s="90"/>
    </row>
    <row r="146" customFormat="false" ht="12.75" hidden="false" customHeight="true" outlineLevel="0" collapsed="false">
      <c r="D146" s="90"/>
    </row>
    <row r="147" customFormat="false" ht="12.75" hidden="false" customHeight="true" outlineLevel="0" collapsed="false">
      <c r="D147" s="90"/>
    </row>
    <row r="148" customFormat="false" ht="12.75" hidden="false" customHeight="true" outlineLevel="0" collapsed="false">
      <c r="D148" s="90"/>
    </row>
    <row r="149" customFormat="false" ht="12.75" hidden="false" customHeight="true" outlineLevel="0" collapsed="false">
      <c r="D149" s="90"/>
    </row>
    <row r="150" customFormat="false" ht="12.75" hidden="false" customHeight="true" outlineLevel="0" collapsed="false">
      <c r="D150" s="90"/>
    </row>
    <row r="151" customFormat="false" ht="12.75" hidden="false" customHeight="true" outlineLevel="0" collapsed="false">
      <c r="D151" s="90"/>
    </row>
    <row r="152" customFormat="false" ht="12.75" hidden="false" customHeight="true" outlineLevel="0" collapsed="false">
      <c r="D152" s="90"/>
    </row>
    <row r="153" customFormat="false" ht="12.75" hidden="false" customHeight="true" outlineLevel="0" collapsed="false">
      <c r="D153" s="90"/>
    </row>
    <row r="154" customFormat="false" ht="12.75" hidden="false" customHeight="true" outlineLevel="0" collapsed="false">
      <c r="D154" s="90"/>
    </row>
    <row r="155" customFormat="false" ht="12.75" hidden="false" customHeight="true" outlineLevel="0" collapsed="false">
      <c r="D155" s="90"/>
    </row>
    <row r="156" customFormat="false" ht="12.75" hidden="false" customHeight="true" outlineLevel="0" collapsed="false">
      <c r="D156" s="90"/>
    </row>
    <row r="157" customFormat="false" ht="12.75" hidden="false" customHeight="true" outlineLevel="0" collapsed="false">
      <c r="D157" s="90"/>
    </row>
    <row r="158" customFormat="false" ht="12.75" hidden="false" customHeight="true" outlineLevel="0" collapsed="false">
      <c r="D158" s="90"/>
    </row>
    <row r="159" customFormat="false" ht="12.75" hidden="false" customHeight="true" outlineLevel="0" collapsed="false">
      <c r="D159" s="90"/>
    </row>
    <row r="160" customFormat="false" ht="12.75" hidden="false" customHeight="true" outlineLevel="0" collapsed="false">
      <c r="D160" s="90"/>
    </row>
    <row r="161" customFormat="false" ht="12.75" hidden="false" customHeight="true" outlineLevel="0" collapsed="false">
      <c r="D161" s="90"/>
    </row>
    <row r="162" customFormat="false" ht="12.75" hidden="false" customHeight="true" outlineLevel="0" collapsed="false">
      <c r="D162" s="90"/>
    </row>
    <row r="163" customFormat="false" ht="12.75" hidden="false" customHeight="true" outlineLevel="0" collapsed="false">
      <c r="D163" s="90"/>
    </row>
    <row r="164" customFormat="false" ht="12.75" hidden="false" customHeight="true" outlineLevel="0" collapsed="false">
      <c r="D164" s="90"/>
    </row>
    <row r="165" customFormat="false" ht="12.75" hidden="false" customHeight="true" outlineLevel="0" collapsed="false">
      <c r="D165" s="90"/>
    </row>
    <row r="166" customFormat="false" ht="12.75" hidden="false" customHeight="true" outlineLevel="0" collapsed="false">
      <c r="D166" s="90"/>
    </row>
    <row r="167" customFormat="false" ht="12.75" hidden="false" customHeight="true" outlineLevel="0" collapsed="false">
      <c r="D167" s="90"/>
    </row>
    <row r="168" customFormat="false" ht="12.75" hidden="false" customHeight="true" outlineLevel="0" collapsed="false">
      <c r="D168" s="90"/>
    </row>
    <row r="169" customFormat="false" ht="12.75" hidden="false" customHeight="true" outlineLevel="0" collapsed="false">
      <c r="D169" s="90"/>
    </row>
    <row r="170" customFormat="false" ht="12.75" hidden="false" customHeight="true" outlineLevel="0" collapsed="false">
      <c r="D170" s="90"/>
    </row>
    <row r="171" customFormat="false" ht="12.75" hidden="false" customHeight="true" outlineLevel="0" collapsed="false">
      <c r="D171" s="90"/>
    </row>
    <row r="172" customFormat="false" ht="12.75" hidden="false" customHeight="true" outlineLevel="0" collapsed="false">
      <c r="D172" s="90"/>
    </row>
    <row r="173" customFormat="false" ht="12.75" hidden="false" customHeight="true" outlineLevel="0" collapsed="false">
      <c r="D173" s="90"/>
    </row>
    <row r="174" customFormat="false" ht="12.75" hidden="false" customHeight="true" outlineLevel="0" collapsed="false">
      <c r="D174" s="90"/>
    </row>
    <row r="175" customFormat="false" ht="12.75" hidden="false" customHeight="true" outlineLevel="0" collapsed="false">
      <c r="D175" s="90"/>
    </row>
    <row r="176" customFormat="false" ht="12.75" hidden="false" customHeight="true" outlineLevel="0" collapsed="false">
      <c r="D176" s="90"/>
    </row>
    <row r="177" customFormat="false" ht="12.75" hidden="false" customHeight="true" outlineLevel="0" collapsed="false">
      <c r="D177" s="90"/>
    </row>
    <row r="178" customFormat="false" ht="12.75" hidden="false" customHeight="true" outlineLevel="0" collapsed="false">
      <c r="D178" s="90"/>
    </row>
    <row r="179" customFormat="false" ht="12.75" hidden="false" customHeight="true" outlineLevel="0" collapsed="false">
      <c r="D179" s="90"/>
    </row>
    <row r="180" customFormat="false" ht="12.75" hidden="false" customHeight="true" outlineLevel="0" collapsed="false">
      <c r="D180" s="90"/>
    </row>
    <row r="181" customFormat="false" ht="12.75" hidden="false" customHeight="true" outlineLevel="0" collapsed="false">
      <c r="D181" s="90"/>
    </row>
    <row r="182" customFormat="false" ht="12.75" hidden="false" customHeight="true" outlineLevel="0" collapsed="false">
      <c r="D182" s="90"/>
    </row>
    <row r="183" customFormat="false" ht="12.75" hidden="false" customHeight="true" outlineLevel="0" collapsed="false">
      <c r="D183" s="90"/>
    </row>
    <row r="184" customFormat="false" ht="12.75" hidden="false" customHeight="true" outlineLevel="0" collapsed="false">
      <c r="D184" s="90"/>
    </row>
    <row r="185" customFormat="false" ht="12.75" hidden="false" customHeight="true" outlineLevel="0" collapsed="false">
      <c r="D185" s="90"/>
    </row>
    <row r="186" customFormat="false" ht="12.75" hidden="false" customHeight="true" outlineLevel="0" collapsed="false">
      <c r="D186" s="90"/>
    </row>
    <row r="187" customFormat="false" ht="12.75" hidden="false" customHeight="true" outlineLevel="0" collapsed="false">
      <c r="D187" s="90"/>
    </row>
    <row r="188" customFormat="false" ht="12.75" hidden="false" customHeight="true" outlineLevel="0" collapsed="false">
      <c r="D188" s="90"/>
    </row>
    <row r="189" customFormat="false" ht="12.75" hidden="false" customHeight="true" outlineLevel="0" collapsed="false">
      <c r="D189" s="90"/>
    </row>
    <row r="190" customFormat="false" ht="12.75" hidden="false" customHeight="true" outlineLevel="0" collapsed="false">
      <c r="D190" s="90"/>
    </row>
    <row r="191" customFormat="false" ht="12.75" hidden="false" customHeight="true" outlineLevel="0" collapsed="false">
      <c r="D191" s="90"/>
    </row>
    <row r="192" customFormat="false" ht="12.75" hidden="false" customHeight="true" outlineLevel="0" collapsed="false">
      <c r="D192" s="90"/>
    </row>
    <row r="193" customFormat="false" ht="12.75" hidden="false" customHeight="true" outlineLevel="0" collapsed="false">
      <c r="D193" s="90"/>
    </row>
    <row r="194" customFormat="false" ht="12.75" hidden="false" customHeight="true" outlineLevel="0" collapsed="false">
      <c r="D194" s="90"/>
    </row>
    <row r="195" customFormat="false" ht="12.75" hidden="false" customHeight="true" outlineLevel="0" collapsed="false">
      <c r="D195" s="90"/>
    </row>
    <row r="196" customFormat="false" ht="12.75" hidden="false" customHeight="true" outlineLevel="0" collapsed="false">
      <c r="D196" s="90"/>
    </row>
    <row r="197" customFormat="false" ht="12.75" hidden="false" customHeight="true" outlineLevel="0" collapsed="false">
      <c r="D197" s="90"/>
    </row>
    <row r="198" customFormat="false" ht="12.75" hidden="false" customHeight="true" outlineLevel="0" collapsed="false">
      <c r="D198" s="90"/>
    </row>
    <row r="199" customFormat="false" ht="12.75" hidden="false" customHeight="true" outlineLevel="0" collapsed="false">
      <c r="D199" s="90"/>
    </row>
    <row r="200" customFormat="false" ht="12.75" hidden="false" customHeight="true" outlineLevel="0" collapsed="false">
      <c r="D200" s="90"/>
    </row>
    <row r="201" customFormat="false" ht="12.75" hidden="false" customHeight="true" outlineLevel="0" collapsed="false">
      <c r="D201" s="90"/>
    </row>
    <row r="202" customFormat="false" ht="12.75" hidden="false" customHeight="true" outlineLevel="0" collapsed="false">
      <c r="D202" s="90"/>
    </row>
    <row r="203" customFormat="false" ht="12.75" hidden="false" customHeight="true" outlineLevel="0" collapsed="false">
      <c r="D203" s="90"/>
    </row>
    <row r="204" customFormat="false" ht="12.75" hidden="false" customHeight="true" outlineLevel="0" collapsed="false">
      <c r="D204" s="90"/>
    </row>
    <row r="205" customFormat="false" ht="12.75" hidden="false" customHeight="true" outlineLevel="0" collapsed="false">
      <c r="D205" s="90"/>
    </row>
    <row r="206" customFormat="false" ht="12.75" hidden="false" customHeight="true" outlineLevel="0" collapsed="false">
      <c r="D206" s="90"/>
    </row>
    <row r="207" customFormat="false" ht="12.75" hidden="false" customHeight="true" outlineLevel="0" collapsed="false">
      <c r="D207" s="90"/>
    </row>
    <row r="208" customFormat="false" ht="12.75" hidden="false" customHeight="true" outlineLevel="0" collapsed="false">
      <c r="D208" s="90"/>
    </row>
    <row r="209" customFormat="false" ht="12.75" hidden="false" customHeight="true" outlineLevel="0" collapsed="false">
      <c r="D209" s="90"/>
    </row>
    <row r="210" customFormat="false" ht="12.75" hidden="false" customHeight="true" outlineLevel="0" collapsed="false">
      <c r="D210" s="90"/>
    </row>
    <row r="211" customFormat="false" ht="12.75" hidden="false" customHeight="true" outlineLevel="0" collapsed="false">
      <c r="D211" s="90"/>
    </row>
    <row r="212" customFormat="false" ht="12.75" hidden="false" customHeight="true" outlineLevel="0" collapsed="false">
      <c r="D212" s="90"/>
    </row>
    <row r="213" customFormat="false" ht="12.75" hidden="false" customHeight="true" outlineLevel="0" collapsed="false">
      <c r="D213" s="90"/>
    </row>
    <row r="214" customFormat="false" ht="12.75" hidden="false" customHeight="true" outlineLevel="0" collapsed="false">
      <c r="D214" s="90"/>
    </row>
    <row r="215" customFormat="false" ht="12.75" hidden="false" customHeight="true" outlineLevel="0" collapsed="false">
      <c r="D215" s="90"/>
    </row>
    <row r="216" customFormat="false" ht="12.75" hidden="false" customHeight="true" outlineLevel="0" collapsed="false">
      <c r="D216" s="90"/>
    </row>
    <row r="217" customFormat="false" ht="12.75" hidden="false" customHeight="true" outlineLevel="0" collapsed="false">
      <c r="D217" s="90"/>
    </row>
    <row r="218" customFormat="false" ht="12.75" hidden="false" customHeight="true" outlineLevel="0" collapsed="false">
      <c r="D218" s="90"/>
    </row>
    <row r="219" customFormat="false" ht="12.75" hidden="false" customHeight="true" outlineLevel="0" collapsed="false">
      <c r="D219" s="90"/>
    </row>
    <row r="220" customFormat="false" ht="12.75" hidden="false" customHeight="true" outlineLevel="0" collapsed="false">
      <c r="D220" s="90"/>
    </row>
    <row r="221" customFormat="false" ht="12.75" hidden="false" customHeight="true" outlineLevel="0" collapsed="false">
      <c r="D221" s="90"/>
    </row>
    <row r="222" customFormat="false" ht="12.75" hidden="false" customHeight="true" outlineLevel="0" collapsed="false">
      <c r="D222" s="90"/>
    </row>
    <row r="223" customFormat="false" ht="12.75" hidden="false" customHeight="true" outlineLevel="0" collapsed="false">
      <c r="D223" s="90"/>
    </row>
    <row r="224" customFormat="false" ht="12.75" hidden="false" customHeight="true" outlineLevel="0" collapsed="false">
      <c r="D224" s="90"/>
    </row>
    <row r="225" customFormat="false" ht="12.75" hidden="false" customHeight="true" outlineLevel="0" collapsed="false">
      <c r="D225" s="90"/>
    </row>
    <row r="226" customFormat="false" ht="12.75" hidden="false" customHeight="true" outlineLevel="0" collapsed="false">
      <c r="D226" s="90"/>
    </row>
    <row r="227" customFormat="false" ht="12.75" hidden="false" customHeight="true" outlineLevel="0" collapsed="false">
      <c r="D227" s="90"/>
    </row>
    <row r="228" customFormat="false" ht="12.75" hidden="false" customHeight="true" outlineLevel="0" collapsed="false">
      <c r="D228" s="90"/>
    </row>
    <row r="229" customFormat="false" ht="12.75" hidden="false" customHeight="true" outlineLevel="0" collapsed="false">
      <c r="D229" s="90"/>
    </row>
    <row r="230" customFormat="false" ht="12.75" hidden="false" customHeight="true" outlineLevel="0" collapsed="false">
      <c r="D230" s="90"/>
    </row>
    <row r="231" customFormat="false" ht="12.75" hidden="false" customHeight="true" outlineLevel="0" collapsed="false">
      <c r="D231" s="90"/>
    </row>
    <row r="232" customFormat="false" ht="12.75" hidden="false" customHeight="true" outlineLevel="0" collapsed="false">
      <c r="D232" s="90"/>
    </row>
    <row r="233" customFormat="false" ht="12.75" hidden="false" customHeight="true" outlineLevel="0" collapsed="false">
      <c r="D233" s="90"/>
    </row>
    <row r="234" customFormat="false" ht="12.75" hidden="false" customHeight="true" outlineLevel="0" collapsed="false">
      <c r="D234" s="90"/>
    </row>
    <row r="235" customFormat="false" ht="12.75" hidden="false" customHeight="true" outlineLevel="0" collapsed="false">
      <c r="D235" s="90"/>
    </row>
    <row r="236" customFormat="false" ht="12.75" hidden="false" customHeight="true" outlineLevel="0" collapsed="false">
      <c r="D236" s="90"/>
    </row>
    <row r="237" customFormat="false" ht="12.75" hidden="false" customHeight="true" outlineLevel="0" collapsed="false">
      <c r="D237" s="90"/>
    </row>
    <row r="238" customFormat="false" ht="12.75" hidden="false" customHeight="true" outlineLevel="0" collapsed="false">
      <c r="D238" s="90"/>
    </row>
    <row r="239" customFormat="false" ht="12.75" hidden="false" customHeight="true" outlineLevel="0" collapsed="false">
      <c r="D239" s="90"/>
    </row>
    <row r="240" customFormat="false" ht="12.75" hidden="false" customHeight="true" outlineLevel="0" collapsed="false">
      <c r="D240" s="90"/>
    </row>
    <row r="241" customFormat="false" ht="12.75" hidden="false" customHeight="true" outlineLevel="0" collapsed="false">
      <c r="D241" s="90"/>
    </row>
    <row r="242" customFormat="false" ht="12.75" hidden="false" customHeight="true" outlineLevel="0" collapsed="false">
      <c r="D242" s="90"/>
    </row>
    <row r="243" customFormat="false" ht="12.75" hidden="false" customHeight="true" outlineLevel="0" collapsed="false">
      <c r="D243" s="90"/>
    </row>
    <row r="244" customFormat="false" ht="12.75" hidden="false" customHeight="true" outlineLevel="0" collapsed="false">
      <c r="D244" s="90"/>
    </row>
    <row r="245" customFormat="false" ht="12.75" hidden="false" customHeight="true" outlineLevel="0" collapsed="false">
      <c r="D245" s="90"/>
    </row>
    <row r="246" customFormat="false" ht="12.75" hidden="false" customHeight="true" outlineLevel="0" collapsed="false">
      <c r="D246" s="90"/>
    </row>
    <row r="247" customFormat="false" ht="12.75" hidden="false" customHeight="true" outlineLevel="0" collapsed="false">
      <c r="D247" s="90"/>
    </row>
    <row r="248" customFormat="false" ht="12.75" hidden="false" customHeight="true" outlineLevel="0" collapsed="false">
      <c r="D248" s="90"/>
    </row>
    <row r="249" customFormat="false" ht="12.75" hidden="false" customHeight="true" outlineLevel="0" collapsed="false">
      <c r="D249" s="90"/>
    </row>
    <row r="250" customFormat="false" ht="12.75" hidden="false" customHeight="true" outlineLevel="0" collapsed="false">
      <c r="D250" s="90"/>
    </row>
    <row r="251" customFormat="false" ht="12.75" hidden="false" customHeight="true" outlineLevel="0" collapsed="false">
      <c r="D251" s="90"/>
    </row>
    <row r="252" customFormat="false" ht="12.75" hidden="false" customHeight="true" outlineLevel="0" collapsed="false">
      <c r="D252" s="90"/>
    </row>
    <row r="253" customFormat="false" ht="12.75" hidden="false" customHeight="true" outlineLevel="0" collapsed="false">
      <c r="D253" s="90"/>
    </row>
    <row r="254" customFormat="false" ht="12.75" hidden="false" customHeight="true" outlineLevel="0" collapsed="false">
      <c r="D254" s="90"/>
    </row>
    <row r="255" customFormat="false" ht="12.75" hidden="false" customHeight="true" outlineLevel="0" collapsed="false">
      <c r="D255" s="90"/>
    </row>
    <row r="256" customFormat="false" ht="12.75" hidden="false" customHeight="true" outlineLevel="0" collapsed="false">
      <c r="D256" s="90"/>
    </row>
    <row r="257" customFormat="false" ht="12.75" hidden="false" customHeight="true" outlineLevel="0" collapsed="false">
      <c r="D257" s="90"/>
    </row>
    <row r="258" customFormat="false" ht="12.75" hidden="false" customHeight="true" outlineLevel="0" collapsed="false">
      <c r="D258" s="90"/>
    </row>
    <row r="259" customFormat="false" ht="12.75" hidden="false" customHeight="true" outlineLevel="0" collapsed="false">
      <c r="D259" s="90"/>
    </row>
    <row r="260" customFormat="false" ht="12.75" hidden="false" customHeight="true" outlineLevel="0" collapsed="false">
      <c r="D260" s="90"/>
    </row>
    <row r="261" customFormat="false" ht="12.75" hidden="false" customHeight="true" outlineLevel="0" collapsed="false">
      <c r="D261" s="90"/>
    </row>
    <row r="262" customFormat="false" ht="12.75" hidden="false" customHeight="true" outlineLevel="0" collapsed="false">
      <c r="D262" s="90"/>
    </row>
    <row r="263" customFormat="false" ht="12.75" hidden="false" customHeight="true" outlineLevel="0" collapsed="false">
      <c r="D263" s="90"/>
    </row>
    <row r="264" customFormat="false" ht="12.75" hidden="false" customHeight="true" outlineLevel="0" collapsed="false">
      <c r="D264" s="90"/>
    </row>
    <row r="265" customFormat="false" ht="12.75" hidden="false" customHeight="true" outlineLevel="0" collapsed="false">
      <c r="D265" s="90"/>
    </row>
    <row r="266" customFormat="false" ht="12.75" hidden="false" customHeight="true" outlineLevel="0" collapsed="false">
      <c r="D266" s="90"/>
    </row>
    <row r="267" customFormat="false" ht="12.75" hidden="false" customHeight="true" outlineLevel="0" collapsed="false">
      <c r="D267" s="90"/>
    </row>
    <row r="268" customFormat="false" ht="12.75" hidden="false" customHeight="true" outlineLevel="0" collapsed="false">
      <c r="D268" s="90"/>
    </row>
    <row r="269" customFormat="false" ht="12.75" hidden="false" customHeight="true" outlineLevel="0" collapsed="false">
      <c r="D269" s="90"/>
    </row>
    <row r="270" customFormat="false" ht="12.75" hidden="false" customHeight="true" outlineLevel="0" collapsed="false">
      <c r="D270" s="90"/>
    </row>
    <row r="271" customFormat="false" ht="12.75" hidden="false" customHeight="true" outlineLevel="0" collapsed="false">
      <c r="D271" s="90"/>
    </row>
    <row r="272" customFormat="false" ht="12.75" hidden="false" customHeight="true" outlineLevel="0" collapsed="false">
      <c r="D272" s="90"/>
    </row>
    <row r="273" customFormat="false" ht="12.75" hidden="false" customHeight="true" outlineLevel="0" collapsed="false">
      <c r="D273" s="90"/>
    </row>
    <row r="274" customFormat="false" ht="12.75" hidden="false" customHeight="true" outlineLevel="0" collapsed="false">
      <c r="D274" s="90"/>
    </row>
    <row r="275" customFormat="false" ht="12.75" hidden="false" customHeight="true" outlineLevel="0" collapsed="false">
      <c r="D275" s="90"/>
    </row>
    <row r="276" customFormat="false" ht="12.75" hidden="false" customHeight="true" outlineLevel="0" collapsed="false">
      <c r="D276" s="90"/>
    </row>
    <row r="277" customFormat="false" ht="12.75" hidden="false" customHeight="true" outlineLevel="0" collapsed="false">
      <c r="D277" s="90"/>
    </row>
    <row r="278" customFormat="false" ht="12.75" hidden="false" customHeight="true" outlineLevel="0" collapsed="false">
      <c r="D278" s="90"/>
    </row>
    <row r="279" customFormat="false" ht="12.75" hidden="false" customHeight="true" outlineLevel="0" collapsed="false">
      <c r="D279" s="90"/>
    </row>
    <row r="280" customFormat="false" ht="12.75" hidden="false" customHeight="true" outlineLevel="0" collapsed="false">
      <c r="D280" s="90"/>
    </row>
    <row r="281" customFormat="false" ht="12.75" hidden="false" customHeight="true" outlineLevel="0" collapsed="false">
      <c r="D281" s="90"/>
    </row>
    <row r="282" customFormat="false" ht="12.75" hidden="false" customHeight="true" outlineLevel="0" collapsed="false">
      <c r="D282" s="90"/>
    </row>
    <row r="283" customFormat="false" ht="12.75" hidden="false" customHeight="true" outlineLevel="0" collapsed="false">
      <c r="D283" s="90"/>
    </row>
    <row r="284" customFormat="false" ht="12.75" hidden="false" customHeight="true" outlineLevel="0" collapsed="false">
      <c r="D284" s="90"/>
    </row>
    <row r="285" customFormat="false" ht="12.75" hidden="false" customHeight="true" outlineLevel="0" collapsed="false">
      <c r="D285" s="90"/>
    </row>
    <row r="286" customFormat="false" ht="12.75" hidden="false" customHeight="true" outlineLevel="0" collapsed="false">
      <c r="D286" s="90"/>
    </row>
    <row r="287" customFormat="false" ht="12.75" hidden="false" customHeight="true" outlineLevel="0" collapsed="false">
      <c r="D287" s="90"/>
    </row>
    <row r="288" customFormat="false" ht="12.75" hidden="false" customHeight="true" outlineLevel="0" collapsed="false">
      <c r="D288" s="90"/>
    </row>
    <row r="289" customFormat="false" ht="12.75" hidden="false" customHeight="true" outlineLevel="0" collapsed="false">
      <c r="D289" s="90"/>
    </row>
    <row r="290" customFormat="false" ht="12.75" hidden="false" customHeight="true" outlineLevel="0" collapsed="false">
      <c r="D290" s="90"/>
    </row>
    <row r="291" customFormat="false" ht="12.75" hidden="false" customHeight="true" outlineLevel="0" collapsed="false">
      <c r="D291" s="90"/>
    </row>
    <row r="292" customFormat="false" ht="12.75" hidden="false" customHeight="true" outlineLevel="0" collapsed="false">
      <c r="D292" s="90"/>
    </row>
    <row r="293" customFormat="false" ht="12.75" hidden="false" customHeight="true" outlineLevel="0" collapsed="false">
      <c r="D293" s="90"/>
    </row>
    <row r="294" customFormat="false" ht="12.75" hidden="false" customHeight="true" outlineLevel="0" collapsed="false">
      <c r="D294" s="90"/>
    </row>
    <row r="295" customFormat="false" ht="12.75" hidden="false" customHeight="true" outlineLevel="0" collapsed="false">
      <c r="D295" s="90"/>
    </row>
    <row r="296" customFormat="false" ht="12.75" hidden="false" customHeight="true" outlineLevel="0" collapsed="false">
      <c r="D296" s="90"/>
    </row>
    <row r="297" customFormat="false" ht="12.75" hidden="false" customHeight="true" outlineLevel="0" collapsed="false">
      <c r="D297" s="90"/>
    </row>
    <row r="298" customFormat="false" ht="12.75" hidden="false" customHeight="true" outlineLevel="0" collapsed="false">
      <c r="D298" s="90"/>
    </row>
    <row r="299" customFormat="false" ht="12.75" hidden="false" customHeight="true" outlineLevel="0" collapsed="false">
      <c r="D299" s="90"/>
    </row>
    <row r="300" customFormat="false" ht="12.75" hidden="false" customHeight="true" outlineLevel="0" collapsed="false">
      <c r="D300" s="90"/>
    </row>
    <row r="301" customFormat="false" ht="12.75" hidden="false" customHeight="true" outlineLevel="0" collapsed="false">
      <c r="D301" s="90"/>
    </row>
    <row r="302" customFormat="false" ht="12.75" hidden="false" customHeight="true" outlineLevel="0" collapsed="false">
      <c r="D302" s="90"/>
    </row>
    <row r="303" customFormat="false" ht="12.75" hidden="false" customHeight="true" outlineLevel="0" collapsed="false">
      <c r="D303" s="90"/>
    </row>
    <row r="304" customFormat="false" ht="12.75" hidden="false" customHeight="true" outlineLevel="0" collapsed="false">
      <c r="D304" s="90"/>
    </row>
    <row r="305" customFormat="false" ht="12.75" hidden="false" customHeight="true" outlineLevel="0" collapsed="false">
      <c r="D305" s="90"/>
    </row>
    <row r="306" customFormat="false" ht="12.75" hidden="false" customHeight="true" outlineLevel="0" collapsed="false">
      <c r="D306" s="90"/>
    </row>
    <row r="307" customFormat="false" ht="12.75" hidden="false" customHeight="true" outlineLevel="0" collapsed="false">
      <c r="D307" s="90"/>
    </row>
    <row r="308" customFormat="false" ht="12.75" hidden="false" customHeight="true" outlineLevel="0" collapsed="false">
      <c r="D308" s="90"/>
    </row>
    <row r="309" customFormat="false" ht="12.75" hidden="false" customHeight="true" outlineLevel="0" collapsed="false">
      <c r="D309" s="90"/>
    </row>
    <row r="310" customFormat="false" ht="12.75" hidden="false" customHeight="true" outlineLevel="0" collapsed="false">
      <c r="D310" s="90"/>
    </row>
    <row r="311" customFormat="false" ht="12.75" hidden="false" customHeight="true" outlineLevel="0" collapsed="false">
      <c r="D311" s="90"/>
    </row>
    <row r="312" customFormat="false" ht="12.75" hidden="false" customHeight="true" outlineLevel="0" collapsed="false">
      <c r="D312" s="90"/>
    </row>
    <row r="313" customFormat="false" ht="12.75" hidden="false" customHeight="true" outlineLevel="0" collapsed="false">
      <c r="D313" s="90"/>
    </row>
    <row r="314" customFormat="false" ht="12.75" hidden="false" customHeight="true" outlineLevel="0" collapsed="false">
      <c r="D314" s="90"/>
    </row>
    <row r="315" customFormat="false" ht="12.75" hidden="false" customHeight="true" outlineLevel="0" collapsed="false">
      <c r="D315" s="90"/>
    </row>
    <row r="316" customFormat="false" ht="12.75" hidden="false" customHeight="true" outlineLevel="0" collapsed="false">
      <c r="D316" s="90"/>
    </row>
    <row r="317" customFormat="false" ht="12.75" hidden="false" customHeight="true" outlineLevel="0" collapsed="false">
      <c r="D317" s="90"/>
    </row>
    <row r="318" customFormat="false" ht="12.75" hidden="false" customHeight="true" outlineLevel="0" collapsed="false">
      <c r="D318" s="90"/>
    </row>
    <row r="319" customFormat="false" ht="12.75" hidden="false" customHeight="true" outlineLevel="0" collapsed="false">
      <c r="D319" s="90"/>
    </row>
    <row r="320" customFormat="false" ht="12.75" hidden="false" customHeight="true" outlineLevel="0" collapsed="false">
      <c r="D320" s="90"/>
    </row>
    <row r="321" customFormat="false" ht="12.75" hidden="false" customHeight="true" outlineLevel="0" collapsed="false">
      <c r="D321" s="90"/>
    </row>
    <row r="322" customFormat="false" ht="12.75" hidden="false" customHeight="true" outlineLevel="0" collapsed="false">
      <c r="D322" s="90"/>
    </row>
    <row r="323" customFormat="false" ht="12.75" hidden="false" customHeight="true" outlineLevel="0" collapsed="false">
      <c r="D323" s="90"/>
    </row>
    <row r="324" customFormat="false" ht="12.75" hidden="false" customHeight="true" outlineLevel="0" collapsed="false">
      <c r="D324" s="90"/>
    </row>
    <row r="325" customFormat="false" ht="12.75" hidden="false" customHeight="true" outlineLevel="0" collapsed="false">
      <c r="D325" s="90"/>
    </row>
    <row r="326" customFormat="false" ht="12.75" hidden="false" customHeight="true" outlineLevel="0" collapsed="false">
      <c r="D326" s="90"/>
    </row>
    <row r="327" customFormat="false" ht="12.75" hidden="false" customHeight="true" outlineLevel="0" collapsed="false">
      <c r="D327" s="90"/>
    </row>
    <row r="328" customFormat="false" ht="12.75" hidden="false" customHeight="true" outlineLevel="0" collapsed="false">
      <c r="D328" s="90"/>
    </row>
    <row r="329" customFormat="false" ht="12.75" hidden="false" customHeight="true" outlineLevel="0" collapsed="false">
      <c r="D329" s="90"/>
    </row>
    <row r="330" customFormat="false" ht="12.75" hidden="false" customHeight="true" outlineLevel="0" collapsed="false">
      <c r="D330" s="90"/>
    </row>
    <row r="331" customFormat="false" ht="12.75" hidden="false" customHeight="true" outlineLevel="0" collapsed="false">
      <c r="D331" s="90"/>
    </row>
    <row r="332" customFormat="false" ht="12.75" hidden="false" customHeight="true" outlineLevel="0" collapsed="false">
      <c r="D332" s="90"/>
    </row>
    <row r="333" customFormat="false" ht="12.75" hidden="false" customHeight="true" outlineLevel="0" collapsed="false">
      <c r="D333" s="90"/>
    </row>
    <row r="334" customFormat="false" ht="12.75" hidden="false" customHeight="true" outlineLevel="0" collapsed="false">
      <c r="D334" s="90"/>
    </row>
    <row r="335" customFormat="false" ht="12.75" hidden="false" customHeight="true" outlineLevel="0" collapsed="false">
      <c r="D335" s="90"/>
    </row>
    <row r="336" customFormat="false" ht="12.75" hidden="false" customHeight="true" outlineLevel="0" collapsed="false">
      <c r="D336" s="90"/>
    </row>
    <row r="337" customFormat="false" ht="12.75" hidden="false" customHeight="true" outlineLevel="0" collapsed="false">
      <c r="D337" s="90"/>
    </row>
    <row r="338" customFormat="false" ht="12.75" hidden="false" customHeight="true" outlineLevel="0" collapsed="false">
      <c r="D338" s="90"/>
    </row>
    <row r="339" customFormat="false" ht="12.75" hidden="false" customHeight="true" outlineLevel="0" collapsed="false">
      <c r="D339" s="90"/>
    </row>
    <row r="340" customFormat="false" ht="12.75" hidden="false" customHeight="true" outlineLevel="0" collapsed="false">
      <c r="D340" s="90"/>
    </row>
    <row r="341" customFormat="false" ht="12.75" hidden="false" customHeight="true" outlineLevel="0" collapsed="false">
      <c r="D341" s="90"/>
    </row>
    <row r="342" customFormat="false" ht="12.75" hidden="false" customHeight="true" outlineLevel="0" collapsed="false">
      <c r="D342" s="90"/>
    </row>
    <row r="343" customFormat="false" ht="12.75" hidden="false" customHeight="true" outlineLevel="0" collapsed="false">
      <c r="D343" s="90"/>
    </row>
    <row r="344" customFormat="false" ht="12.75" hidden="false" customHeight="true" outlineLevel="0" collapsed="false">
      <c r="D344" s="90"/>
    </row>
    <row r="345" customFormat="false" ht="12.75" hidden="false" customHeight="true" outlineLevel="0" collapsed="false">
      <c r="D345" s="90"/>
    </row>
    <row r="346" customFormat="false" ht="12.75" hidden="false" customHeight="true" outlineLevel="0" collapsed="false">
      <c r="D346" s="90"/>
    </row>
    <row r="347" customFormat="false" ht="12.75" hidden="false" customHeight="true" outlineLevel="0" collapsed="false">
      <c r="D347" s="90"/>
    </row>
    <row r="348" customFormat="false" ht="12.75" hidden="false" customHeight="true" outlineLevel="0" collapsed="false">
      <c r="D348" s="90"/>
    </row>
    <row r="349" customFormat="false" ht="12.75" hidden="false" customHeight="true" outlineLevel="0" collapsed="false">
      <c r="D349" s="90"/>
    </row>
    <row r="350" customFormat="false" ht="12.75" hidden="false" customHeight="true" outlineLevel="0" collapsed="false">
      <c r="D350" s="90"/>
    </row>
    <row r="351" customFormat="false" ht="12.75" hidden="false" customHeight="true" outlineLevel="0" collapsed="false">
      <c r="D351" s="90"/>
    </row>
    <row r="352" customFormat="false" ht="12.75" hidden="false" customHeight="true" outlineLevel="0" collapsed="false">
      <c r="D352" s="90"/>
    </row>
    <row r="353" customFormat="false" ht="12.75" hidden="false" customHeight="true" outlineLevel="0" collapsed="false">
      <c r="D353" s="90"/>
    </row>
    <row r="354" customFormat="false" ht="12.75" hidden="false" customHeight="true" outlineLevel="0" collapsed="false">
      <c r="D354" s="90"/>
    </row>
    <row r="355" customFormat="false" ht="12.75" hidden="false" customHeight="true" outlineLevel="0" collapsed="false">
      <c r="D355" s="90"/>
    </row>
    <row r="356" customFormat="false" ht="12.75" hidden="false" customHeight="true" outlineLevel="0" collapsed="false">
      <c r="D356" s="90"/>
    </row>
    <row r="357" customFormat="false" ht="12.75" hidden="false" customHeight="true" outlineLevel="0" collapsed="false">
      <c r="D357" s="90"/>
    </row>
    <row r="358" customFormat="false" ht="12.75" hidden="false" customHeight="true" outlineLevel="0" collapsed="false">
      <c r="D358" s="90"/>
    </row>
    <row r="359" customFormat="false" ht="12.75" hidden="false" customHeight="true" outlineLevel="0" collapsed="false">
      <c r="D359" s="90"/>
    </row>
    <row r="360" customFormat="false" ht="12.75" hidden="false" customHeight="true" outlineLevel="0" collapsed="false">
      <c r="D360" s="90"/>
    </row>
    <row r="361" customFormat="false" ht="12.75" hidden="false" customHeight="true" outlineLevel="0" collapsed="false">
      <c r="D361" s="90"/>
    </row>
    <row r="362" customFormat="false" ht="12.75" hidden="false" customHeight="true" outlineLevel="0" collapsed="false">
      <c r="D362" s="90"/>
    </row>
    <row r="363" customFormat="false" ht="12.75" hidden="false" customHeight="true" outlineLevel="0" collapsed="false">
      <c r="D363" s="90"/>
    </row>
    <row r="364" customFormat="false" ht="12.75" hidden="false" customHeight="true" outlineLevel="0" collapsed="false">
      <c r="D364" s="90"/>
    </row>
    <row r="365" customFormat="false" ht="12.75" hidden="false" customHeight="true" outlineLevel="0" collapsed="false">
      <c r="D365" s="90"/>
    </row>
    <row r="366" customFormat="false" ht="12.75" hidden="false" customHeight="true" outlineLevel="0" collapsed="false">
      <c r="D366" s="90"/>
    </row>
    <row r="367" customFormat="false" ht="12.75" hidden="false" customHeight="true" outlineLevel="0" collapsed="false">
      <c r="D367" s="90"/>
    </row>
    <row r="368" customFormat="false" ht="12.75" hidden="false" customHeight="true" outlineLevel="0" collapsed="false">
      <c r="D368" s="90"/>
    </row>
    <row r="369" customFormat="false" ht="12.75" hidden="false" customHeight="true" outlineLevel="0" collapsed="false">
      <c r="D369" s="90"/>
    </row>
    <row r="370" customFormat="false" ht="12.75" hidden="false" customHeight="true" outlineLevel="0" collapsed="false">
      <c r="D370" s="90"/>
    </row>
    <row r="371" customFormat="false" ht="12.75" hidden="false" customHeight="true" outlineLevel="0" collapsed="false">
      <c r="D371" s="90"/>
    </row>
    <row r="372" customFormat="false" ht="12.75" hidden="false" customHeight="true" outlineLevel="0" collapsed="false">
      <c r="D372" s="90"/>
    </row>
    <row r="373" customFormat="false" ht="12.75" hidden="false" customHeight="true" outlineLevel="0" collapsed="false">
      <c r="D373" s="90"/>
    </row>
    <row r="374" customFormat="false" ht="12.75" hidden="false" customHeight="true" outlineLevel="0" collapsed="false">
      <c r="D374" s="90"/>
    </row>
    <row r="375" customFormat="false" ht="12.75" hidden="false" customHeight="true" outlineLevel="0" collapsed="false">
      <c r="D375" s="90"/>
    </row>
    <row r="376" customFormat="false" ht="12.75" hidden="false" customHeight="true" outlineLevel="0" collapsed="false">
      <c r="D376" s="90"/>
    </row>
    <row r="377" customFormat="false" ht="12.75" hidden="false" customHeight="true" outlineLevel="0" collapsed="false">
      <c r="D377" s="90"/>
    </row>
    <row r="378" customFormat="false" ht="12.75" hidden="false" customHeight="true" outlineLevel="0" collapsed="false">
      <c r="D378" s="90"/>
    </row>
    <row r="379" customFormat="false" ht="12.75" hidden="false" customHeight="true" outlineLevel="0" collapsed="false">
      <c r="D379" s="90"/>
    </row>
    <row r="380" customFormat="false" ht="12.75" hidden="false" customHeight="true" outlineLevel="0" collapsed="false">
      <c r="D380" s="90"/>
    </row>
    <row r="381" customFormat="false" ht="12.75" hidden="false" customHeight="true" outlineLevel="0" collapsed="false">
      <c r="D381" s="90"/>
    </row>
    <row r="382" customFormat="false" ht="12.75" hidden="false" customHeight="true" outlineLevel="0" collapsed="false">
      <c r="D382" s="90"/>
    </row>
    <row r="383" customFormat="false" ht="12.75" hidden="false" customHeight="true" outlineLevel="0" collapsed="false">
      <c r="D383" s="90"/>
    </row>
    <row r="384" customFormat="false" ht="12.75" hidden="false" customHeight="true" outlineLevel="0" collapsed="false">
      <c r="D384" s="90"/>
    </row>
    <row r="385" customFormat="false" ht="12.75" hidden="false" customHeight="true" outlineLevel="0" collapsed="false">
      <c r="D385" s="90"/>
    </row>
    <row r="386" customFormat="false" ht="12.75" hidden="false" customHeight="true" outlineLevel="0" collapsed="false">
      <c r="D386" s="90"/>
    </row>
    <row r="387" customFormat="false" ht="12.75" hidden="false" customHeight="true" outlineLevel="0" collapsed="false">
      <c r="D387" s="90"/>
    </row>
    <row r="388" customFormat="false" ht="12.75" hidden="false" customHeight="true" outlineLevel="0" collapsed="false">
      <c r="D388" s="90"/>
    </row>
    <row r="389" customFormat="false" ht="12.75" hidden="false" customHeight="true" outlineLevel="0" collapsed="false">
      <c r="D389" s="90"/>
    </row>
    <row r="390" customFormat="false" ht="12.75" hidden="false" customHeight="true" outlineLevel="0" collapsed="false">
      <c r="D390" s="90"/>
    </row>
    <row r="391" customFormat="false" ht="12.75" hidden="false" customHeight="true" outlineLevel="0" collapsed="false">
      <c r="D391" s="90"/>
    </row>
    <row r="392" customFormat="false" ht="12.75" hidden="false" customHeight="true" outlineLevel="0" collapsed="false">
      <c r="D392" s="90"/>
    </row>
    <row r="393" customFormat="false" ht="12.75" hidden="false" customHeight="true" outlineLevel="0" collapsed="false">
      <c r="D393" s="90"/>
    </row>
    <row r="394" customFormat="false" ht="12.75" hidden="false" customHeight="true" outlineLevel="0" collapsed="false">
      <c r="D394" s="90"/>
    </row>
    <row r="395" customFormat="false" ht="12.75" hidden="false" customHeight="true" outlineLevel="0" collapsed="false">
      <c r="D395" s="90"/>
    </row>
    <row r="396" customFormat="false" ht="12.75" hidden="false" customHeight="true" outlineLevel="0" collapsed="false">
      <c r="D396" s="90"/>
    </row>
    <row r="397" customFormat="false" ht="12.75" hidden="false" customHeight="true" outlineLevel="0" collapsed="false">
      <c r="D397" s="90"/>
    </row>
    <row r="398" customFormat="false" ht="12.75" hidden="false" customHeight="true" outlineLevel="0" collapsed="false">
      <c r="D398" s="90"/>
    </row>
    <row r="399" customFormat="false" ht="12.75" hidden="false" customHeight="true" outlineLevel="0" collapsed="false">
      <c r="D399" s="90"/>
    </row>
    <row r="400" customFormat="false" ht="12.75" hidden="false" customHeight="true" outlineLevel="0" collapsed="false">
      <c r="D400" s="90"/>
    </row>
    <row r="401" customFormat="false" ht="12.75" hidden="false" customHeight="true" outlineLevel="0" collapsed="false">
      <c r="D401" s="90"/>
    </row>
    <row r="402" customFormat="false" ht="12.75" hidden="false" customHeight="true" outlineLevel="0" collapsed="false">
      <c r="D402" s="90"/>
    </row>
    <row r="403" customFormat="false" ht="12.75" hidden="false" customHeight="true" outlineLevel="0" collapsed="false">
      <c r="D403" s="90"/>
    </row>
    <row r="404" customFormat="false" ht="12.75" hidden="false" customHeight="true" outlineLevel="0" collapsed="false">
      <c r="D404" s="90"/>
    </row>
    <row r="405" customFormat="false" ht="12.75" hidden="false" customHeight="true" outlineLevel="0" collapsed="false">
      <c r="D405" s="90"/>
    </row>
    <row r="406" customFormat="false" ht="12.75" hidden="false" customHeight="true" outlineLevel="0" collapsed="false">
      <c r="D406" s="90"/>
    </row>
    <row r="407" customFormat="false" ht="12.75" hidden="false" customHeight="true" outlineLevel="0" collapsed="false">
      <c r="D407" s="90"/>
    </row>
    <row r="408" customFormat="false" ht="12.75" hidden="false" customHeight="true" outlineLevel="0" collapsed="false">
      <c r="D408" s="90"/>
    </row>
    <row r="409" customFormat="false" ht="12.75" hidden="false" customHeight="true" outlineLevel="0" collapsed="false">
      <c r="D409" s="90"/>
    </row>
    <row r="410" customFormat="false" ht="12.75" hidden="false" customHeight="true" outlineLevel="0" collapsed="false">
      <c r="D410" s="90"/>
    </row>
    <row r="411" customFormat="false" ht="12.75" hidden="false" customHeight="true" outlineLevel="0" collapsed="false">
      <c r="D411" s="90"/>
    </row>
    <row r="412" customFormat="false" ht="12.75" hidden="false" customHeight="true" outlineLevel="0" collapsed="false">
      <c r="D412" s="90"/>
    </row>
    <row r="413" customFormat="false" ht="12.75" hidden="false" customHeight="true" outlineLevel="0" collapsed="false">
      <c r="D413" s="90"/>
    </row>
    <row r="414" customFormat="false" ht="12.75" hidden="false" customHeight="true" outlineLevel="0" collapsed="false">
      <c r="D414" s="90"/>
    </row>
    <row r="415" customFormat="false" ht="12.75" hidden="false" customHeight="true" outlineLevel="0" collapsed="false">
      <c r="D415" s="90"/>
    </row>
    <row r="416" customFormat="false" ht="12.75" hidden="false" customHeight="true" outlineLevel="0" collapsed="false">
      <c r="D416" s="90"/>
    </row>
    <row r="417" customFormat="false" ht="12.75" hidden="false" customHeight="true" outlineLevel="0" collapsed="false">
      <c r="D417" s="90"/>
    </row>
    <row r="418" customFormat="false" ht="12.75" hidden="false" customHeight="true" outlineLevel="0" collapsed="false">
      <c r="D418" s="90"/>
    </row>
    <row r="419" customFormat="false" ht="12.75" hidden="false" customHeight="true" outlineLevel="0" collapsed="false">
      <c r="D419" s="90"/>
    </row>
    <row r="420" customFormat="false" ht="12.75" hidden="false" customHeight="true" outlineLevel="0" collapsed="false">
      <c r="D420" s="90"/>
    </row>
    <row r="421" customFormat="false" ht="12.75" hidden="false" customHeight="true" outlineLevel="0" collapsed="false">
      <c r="D421" s="90"/>
    </row>
    <row r="422" customFormat="false" ht="12.75" hidden="false" customHeight="true" outlineLevel="0" collapsed="false">
      <c r="D422" s="90"/>
    </row>
    <row r="423" customFormat="false" ht="12.75" hidden="false" customHeight="true" outlineLevel="0" collapsed="false">
      <c r="D423" s="90"/>
    </row>
    <row r="424" customFormat="false" ht="12.75" hidden="false" customHeight="true" outlineLevel="0" collapsed="false">
      <c r="D424" s="90"/>
    </row>
    <row r="425" customFormat="false" ht="12.75" hidden="false" customHeight="true" outlineLevel="0" collapsed="false">
      <c r="D425" s="90"/>
    </row>
    <row r="426" customFormat="false" ht="12.75" hidden="false" customHeight="true" outlineLevel="0" collapsed="false">
      <c r="D426" s="90"/>
    </row>
    <row r="427" customFormat="false" ht="12.75" hidden="false" customHeight="true" outlineLevel="0" collapsed="false">
      <c r="D427" s="90"/>
    </row>
    <row r="428" customFormat="false" ht="12.75" hidden="false" customHeight="true" outlineLevel="0" collapsed="false">
      <c r="D428" s="90"/>
    </row>
    <row r="429" customFormat="false" ht="12.75" hidden="false" customHeight="true" outlineLevel="0" collapsed="false">
      <c r="D429" s="90"/>
    </row>
    <row r="430" customFormat="false" ht="12.75" hidden="false" customHeight="true" outlineLevel="0" collapsed="false">
      <c r="D430" s="90"/>
    </row>
    <row r="431" customFormat="false" ht="12.75" hidden="false" customHeight="true" outlineLevel="0" collapsed="false">
      <c r="D431" s="90"/>
    </row>
    <row r="432" customFormat="false" ht="12.75" hidden="false" customHeight="true" outlineLevel="0" collapsed="false">
      <c r="D432" s="90"/>
    </row>
    <row r="433" customFormat="false" ht="12.75" hidden="false" customHeight="true" outlineLevel="0" collapsed="false">
      <c r="D433" s="90"/>
    </row>
    <row r="434" customFormat="false" ht="12.75" hidden="false" customHeight="true" outlineLevel="0" collapsed="false">
      <c r="D434" s="90"/>
    </row>
    <row r="435" customFormat="false" ht="12.75" hidden="false" customHeight="true" outlineLevel="0" collapsed="false">
      <c r="D435" s="90"/>
    </row>
    <row r="436" customFormat="false" ht="12.75" hidden="false" customHeight="true" outlineLevel="0" collapsed="false">
      <c r="D436" s="90"/>
    </row>
    <row r="437" customFormat="false" ht="12.75" hidden="false" customHeight="true" outlineLevel="0" collapsed="false">
      <c r="D437" s="90"/>
    </row>
    <row r="438" customFormat="false" ht="12.75" hidden="false" customHeight="true" outlineLevel="0" collapsed="false">
      <c r="D438" s="90"/>
    </row>
    <row r="439" customFormat="false" ht="12.75" hidden="false" customHeight="true" outlineLevel="0" collapsed="false">
      <c r="D439" s="90"/>
    </row>
    <row r="440" customFormat="false" ht="12.75" hidden="false" customHeight="true" outlineLevel="0" collapsed="false">
      <c r="D440" s="90"/>
    </row>
    <row r="441" customFormat="false" ht="12.75" hidden="false" customHeight="true" outlineLevel="0" collapsed="false">
      <c r="D441" s="90"/>
    </row>
    <row r="442" customFormat="false" ht="12.75" hidden="false" customHeight="true" outlineLevel="0" collapsed="false">
      <c r="D442" s="90"/>
    </row>
    <row r="443" customFormat="false" ht="12.75" hidden="false" customHeight="true" outlineLevel="0" collapsed="false">
      <c r="D443" s="90"/>
    </row>
    <row r="444" customFormat="false" ht="12.75" hidden="false" customHeight="true" outlineLevel="0" collapsed="false">
      <c r="D444" s="90"/>
    </row>
    <row r="445" customFormat="false" ht="12.75" hidden="false" customHeight="true" outlineLevel="0" collapsed="false">
      <c r="D445" s="90"/>
    </row>
    <row r="446" customFormat="false" ht="12.75" hidden="false" customHeight="true" outlineLevel="0" collapsed="false">
      <c r="D446" s="90"/>
    </row>
    <row r="447" customFormat="false" ht="12.75" hidden="false" customHeight="true" outlineLevel="0" collapsed="false">
      <c r="D447" s="90"/>
    </row>
    <row r="448" customFormat="false" ht="12.75" hidden="false" customHeight="true" outlineLevel="0" collapsed="false">
      <c r="D448" s="90"/>
    </row>
    <row r="449" customFormat="false" ht="12.75" hidden="false" customHeight="true" outlineLevel="0" collapsed="false">
      <c r="D449" s="90"/>
    </row>
    <row r="450" customFormat="false" ht="12.75" hidden="false" customHeight="true" outlineLevel="0" collapsed="false">
      <c r="D450" s="90"/>
    </row>
    <row r="451" customFormat="false" ht="12.75" hidden="false" customHeight="true" outlineLevel="0" collapsed="false">
      <c r="D451" s="90"/>
    </row>
    <row r="452" customFormat="false" ht="12.75" hidden="false" customHeight="true" outlineLevel="0" collapsed="false">
      <c r="D452" s="90"/>
    </row>
    <row r="453" customFormat="false" ht="12.75" hidden="false" customHeight="true" outlineLevel="0" collapsed="false">
      <c r="D453" s="90"/>
    </row>
    <row r="454" customFormat="false" ht="12.75" hidden="false" customHeight="true" outlineLevel="0" collapsed="false">
      <c r="D454" s="90"/>
    </row>
    <row r="455" customFormat="false" ht="12.75" hidden="false" customHeight="true" outlineLevel="0" collapsed="false">
      <c r="D455" s="90"/>
    </row>
    <row r="456" customFormat="false" ht="12.75" hidden="false" customHeight="true" outlineLevel="0" collapsed="false">
      <c r="D456" s="90"/>
    </row>
    <row r="457" customFormat="false" ht="12.75" hidden="false" customHeight="true" outlineLevel="0" collapsed="false">
      <c r="D457" s="90"/>
    </row>
    <row r="458" customFormat="false" ht="12.75" hidden="false" customHeight="true" outlineLevel="0" collapsed="false">
      <c r="D458" s="90"/>
    </row>
    <row r="459" customFormat="false" ht="12.75" hidden="false" customHeight="true" outlineLevel="0" collapsed="false">
      <c r="D459" s="90"/>
    </row>
    <row r="460" customFormat="false" ht="12.75" hidden="false" customHeight="true" outlineLevel="0" collapsed="false">
      <c r="D460" s="90"/>
    </row>
    <row r="461" customFormat="false" ht="12.75" hidden="false" customHeight="true" outlineLevel="0" collapsed="false">
      <c r="D461" s="90"/>
    </row>
    <row r="462" customFormat="false" ht="12.75" hidden="false" customHeight="true" outlineLevel="0" collapsed="false">
      <c r="D462" s="90"/>
    </row>
    <row r="463" customFormat="false" ht="12.75" hidden="false" customHeight="true" outlineLevel="0" collapsed="false">
      <c r="D463" s="90"/>
    </row>
    <row r="464" customFormat="false" ht="12.75" hidden="false" customHeight="true" outlineLevel="0" collapsed="false">
      <c r="D464" s="90"/>
    </row>
    <row r="465" customFormat="false" ht="12.75" hidden="false" customHeight="true" outlineLevel="0" collapsed="false">
      <c r="D465" s="90"/>
    </row>
    <row r="466" customFormat="false" ht="12.75" hidden="false" customHeight="true" outlineLevel="0" collapsed="false">
      <c r="D466" s="90"/>
    </row>
    <row r="467" customFormat="false" ht="12.75" hidden="false" customHeight="true" outlineLevel="0" collapsed="false">
      <c r="D467" s="90"/>
    </row>
    <row r="468" customFormat="false" ht="12.75" hidden="false" customHeight="true" outlineLevel="0" collapsed="false">
      <c r="D468" s="90"/>
    </row>
    <row r="469" customFormat="false" ht="12.75" hidden="false" customHeight="true" outlineLevel="0" collapsed="false">
      <c r="D469" s="90"/>
    </row>
    <row r="470" customFormat="false" ht="12.75" hidden="false" customHeight="true" outlineLevel="0" collapsed="false">
      <c r="D470" s="90"/>
    </row>
    <row r="471" customFormat="false" ht="12.75" hidden="false" customHeight="true" outlineLevel="0" collapsed="false">
      <c r="D471" s="90"/>
    </row>
    <row r="472" customFormat="false" ht="12.75" hidden="false" customHeight="true" outlineLevel="0" collapsed="false">
      <c r="D472" s="90"/>
    </row>
    <row r="473" customFormat="false" ht="12.75" hidden="false" customHeight="true" outlineLevel="0" collapsed="false">
      <c r="D473" s="90"/>
    </row>
    <row r="474" customFormat="false" ht="12.75" hidden="false" customHeight="true" outlineLevel="0" collapsed="false">
      <c r="D474" s="90"/>
    </row>
    <row r="475" customFormat="false" ht="12.75" hidden="false" customHeight="true" outlineLevel="0" collapsed="false">
      <c r="D475" s="90"/>
    </row>
    <row r="476" customFormat="false" ht="12.75" hidden="false" customHeight="true" outlineLevel="0" collapsed="false">
      <c r="D476" s="90"/>
    </row>
    <row r="477" customFormat="false" ht="12.75" hidden="false" customHeight="true" outlineLevel="0" collapsed="false">
      <c r="D477" s="90"/>
    </row>
    <row r="478" customFormat="false" ht="12.75" hidden="false" customHeight="true" outlineLevel="0" collapsed="false">
      <c r="D478" s="90"/>
    </row>
    <row r="479" customFormat="false" ht="12.75" hidden="false" customHeight="true" outlineLevel="0" collapsed="false">
      <c r="D479" s="90"/>
    </row>
    <row r="480" customFormat="false" ht="12.75" hidden="false" customHeight="true" outlineLevel="0" collapsed="false">
      <c r="D480" s="90"/>
    </row>
    <row r="481" customFormat="false" ht="12.75" hidden="false" customHeight="true" outlineLevel="0" collapsed="false">
      <c r="D481" s="90"/>
    </row>
    <row r="482" customFormat="false" ht="12.75" hidden="false" customHeight="true" outlineLevel="0" collapsed="false">
      <c r="D482" s="90"/>
    </row>
    <row r="483" customFormat="false" ht="12.75" hidden="false" customHeight="true" outlineLevel="0" collapsed="false">
      <c r="D483" s="90"/>
    </row>
    <row r="484" customFormat="false" ht="12.75" hidden="false" customHeight="true" outlineLevel="0" collapsed="false">
      <c r="D484" s="90"/>
    </row>
    <row r="485" customFormat="false" ht="12.75" hidden="false" customHeight="true" outlineLevel="0" collapsed="false">
      <c r="D485" s="90"/>
    </row>
    <row r="486" customFormat="false" ht="12.75" hidden="false" customHeight="true" outlineLevel="0" collapsed="false">
      <c r="D486" s="90"/>
    </row>
    <row r="487" customFormat="false" ht="12.75" hidden="false" customHeight="true" outlineLevel="0" collapsed="false">
      <c r="D487" s="90"/>
    </row>
    <row r="488" customFormat="false" ht="12.75" hidden="false" customHeight="true" outlineLevel="0" collapsed="false">
      <c r="D488" s="90"/>
    </row>
    <row r="489" customFormat="false" ht="12.75" hidden="false" customHeight="true" outlineLevel="0" collapsed="false">
      <c r="D489" s="90"/>
    </row>
    <row r="490" customFormat="false" ht="12.75" hidden="false" customHeight="true" outlineLevel="0" collapsed="false">
      <c r="D490" s="90"/>
    </row>
    <row r="491" customFormat="false" ht="12.75" hidden="false" customHeight="true" outlineLevel="0" collapsed="false">
      <c r="D491" s="90"/>
    </row>
    <row r="492" customFormat="false" ht="12.75" hidden="false" customHeight="true" outlineLevel="0" collapsed="false">
      <c r="D492" s="90"/>
    </row>
    <row r="493" customFormat="false" ht="12.75" hidden="false" customHeight="true" outlineLevel="0" collapsed="false">
      <c r="D493" s="90"/>
    </row>
    <row r="494" customFormat="false" ht="12.75" hidden="false" customHeight="true" outlineLevel="0" collapsed="false">
      <c r="D494" s="90"/>
    </row>
    <row r="495" customFormat="false" ht="12.75" hidden="false" customHeight="true" outlineLevel="0" collapsed="false">
      <c r="D495" s="90"/>
    </row>
    <row r="496" customFormat="false" ht="12.75" hidden="false" customHeight="true" outlineLevel="0" collapsed="false">
      <c r="D496" s="90"/>
    </row>
    <row r="497" customFormat="false" ht="12.75" hidden="false" customHeight="true" outlineLevel="0" collapsed="false">
      <c r="D497" s="90"/>
    </row>
    <row r="498" customFormat="false" ht="12.75" hidden="false" customHeight="true" outlineLevel="0" collapsed="false">
      <c r="D498" s="90"/>
    </row>
    <row r="499" customFormat="false" ht="12.75" hidden="false" customHeight="true" outlineLevel="0" collapsed="false">
      <c r="D499" s="90"/>
    </row>
    <row r="500" customFormat="false" ht="12.75" hidden="false" customHeight="true" outlineLevel="0" collapsed="false">
      <c r="D500" s="90"/>
    </row>
    <row r="501" customFormat="false" ht="12.75" hidden="false" customHeight="true" outlineLevel="0" collapsed="false">
      <c r="D501" s="90"/>
    </row>
    <row r="502" customFormat="false" ht="12.75" hidden="false" customHeight="true" outlineLevel="0" collapsed="false">
      <c r="D502" s="90"/>
    </row>
    <row r="503" customFormat="false" ht="12.75" hidden="false" customHeight="true" outlineLevel="0" collapsed="false">
      <c r="D503" s="90"/>
    </row>
    <row r="504" customFormat="false" ht="12.75" hidden="false" customHeight="true" outlineLevel="0" collapsed="false">
      <c r="D504" s="90"/>
    </row>
    <row r="505" customFormat="false" ht="12.75" hidden="false" customHeight="true" outlineLevel="0" collapsed="false">
      <c r="D505" s="90"/>
    </row>
    <row r="506" customFormat="false" ht="12.75" hidden="false" customHeight="true" outlineLevel="0" collapsed="false">
      <c r="D506" s="90"/>
    </row>
    <row r="507" customFormat="false" ht="12.75" hidden="false" customHeight="true" outlineLevel="0" collapsed="false">
      <c r="D507" s="90"/>
    </row>
    <row r="508" customFormat="false" ht="12.75" hidden="false" customHeight="true" outlineLevel="0" collapsed="false">
      <c r="D508" s="90"/>
    </row>
    <row r="509" customFormat="false" ht="12.75" hidden="false" customHeight="true" outlineLevel="0" collapsed="false">
      <c r="D509" s="90"/>
    </row>
    <row r="510" customFormat="false" ht="12.75" hidden="false" customHeight="true" outlineLevel="0" collapsed="false">
      <c r="D510" s="90"/>
    </row>
    <row r="511" customFormat="false" ht="12.75" hidden="false" customHeight="true" outlineLevel="0" collapsed="false">
      <c r="D511" s="90"/>
    </row>
    <row r="512" customFormat="false" ht="12.75" hidden="false" customHeight="true" outlineLevel="0" collapsed="false">
      <c r="D512" s="90"/>
    </row>
    <row r="513" customFormat="false" ht="12.75" hidden="false" customHeight="true" outlineLevel="0" collapsed="false">
      <c r="D513" s="90"/>
    </row>
    <row r="514" customFormat="false" ht="12.75" hidden="false" customHeight="true" outlineLevel="0" collapsed="false">
      <c r="D514" s="90"/>
    </row>
    <row r="515" customFormat="false" ht="12.75" hidden="false" customHeight="true" outlineLevel="0" collapsed="false">
      <c r="D515" s="90"/>
    </row>
    <row r="516" customFormat="false" ht="12.75" hidden="false" customHeight="true" outlineLevel="0" collapsed="false">
      <c r="D516" s="90"/>
    </row>
    <row r="517" customFormat="false" ht="12.75" hidden="false" customHeight="true" outlineLevel="0" collapsed="false">
      <c r="D517" s="90"/>
    </row>
    <row r="518" customFormat="false" ht="12.75" hidden="false" customHeight="true" outlineLevel="0" collapsed="false">
      <c r="D518" s="90"/>
    </row>
    <row r="519" customFormat="false" ht="12.75" hidden="false" customHeight="true" outlineLevel="0" collapsed="false">
      <c r="D519" s="90"/>
    </row>
    <row r="520" customFormat="false" ht="12.75" hidden="false" customHeight="true" outlineLevel="0" collapsed="false">
      <c r="D520" s="90"/>
    </row>
    <row r="521" customFormat="false" ht="12.75" hidden="false" customHeight="true" outlineLevel="0" collapsed="false">
      <c r="D521" s="90"/>
    </row>
    <row r="522" customFormat="false" ht="12.75" hidden="false" customHeight="true" outlineLevel="0" collapsed="false">
      <c r="D522" s="90"/>
    </row>
    <row r="523" customFormat="false" ht="12.75" hidden="false" customHeight="true" outlineLevel="0" collapsed="false">
      <c r="D523" s="90"/>
    </row>
    <row r="524" customFormat="false" ht="12.75" hidden="false" customHeight="true" outlineLevel="0" collapsed="false">
      <c r="D524" s="90"/>
    </row>
    <row r="525" customFormat="false" ht="12.75" hidden="false" customHeight="true" outlineLevel="0" collapsed="false">
      <c r="D525" s="90"/>
    </row>
    <row r="526" customFormat="false" ht="12.75" hidden="false" customHeight="true" outlineLevel="0" collapsed="false">
      <c r="D526" s="90"/>
    </row>
    <row r="527" customFormat="false" ht="12.75" hidden="false" customHeight="true" outlineLevel="0" collapsed="false">
      <c r="D527" s="90"/>
    </row>
    <row r="528" customFormat="false" ht="12.75" hidden="false" customHeight="true" outlineLevel="0" collapsed="false">
      <c r="D528" s="90"/>
    </row>
    <row r="529" customFormat="false" ht="12.75" hidden="false" customHeight="true" outlineLevel="0" collapsed="false">
      <c r="D529" s="90"/>
    </row>
    <row r="530" customFormat="false" ht="12.75" hidden="false" customHeight="true" outlineLevel="0" collapsed="false">
      <c r="D530" s="90"/>
    </row>
    <row r="531" customFormat="false" ht="12.75" hidden="false" customHeight="true" outlineLevel="0" collapsed="false">
      <c r="D531" s="90"/>
    </row>
    <row r="532" customFormat="false" ht="12.75" hidden="false" customHeight="true" outlineLevel="0" collapsed="false">
      <c r="D532" s="90"/>
    </row>
    <row r="533" customFormat="false" ht="12.75" hidden="false" customHeight="true" outlineLevel="0" collapsed="false">
      <c r="D533" s="90"/>
    </row>
    <row r="534" customFormat="false" ht="12.75" hidden="false" customHeight="true" outlineLevel="0" collapsed="false">
      <c r="D534" s="90"/>
    </row>
    <row r="535" customFormat="false" ht="12.75" hidden="false" customHeight="true" outlineLevel="0" collapsed="false">
      <c r="D535" s="90"/>
    </row>
    <row r="536" customFormat="false" ht="12.75" hidden="false" customHeight="true" outlineLevel="0" collapsed="false">
      <c r="D536" s="90"/>
    </row>
    <row r="537" customFormat="false" ht="12.75" hidden="false" customHeight="true" outlineLevel="0" collapsed="false">
      <c r="D537" s="90"/>
    </row>
    <row r="538" customFormat="false" ht="12.75" hidden="false" customHeight="true" outlineLevel="0" collapsed="false">
      <c r="D538" s="90"/>
    </row>
    <row r="539" customFormat="false" ht="12.75" hidden="false" customHeight="true" outlineLevel="0" collapsed="false">
      <c r="D539" s="90"/>
    </row>
    <row r="540" customFormat="false" ht="12.75" hidden="false" customHeight="true" outlineLevel="0" collapsed="false">
      <c r="D540" s="90"/>
    </row>
    <row r="541" customFormat="false" ht="12.75" hidden="false" customHeight="true" outlineLevel="0" collapsed="false">
      <c r="D541" s="90"/>
    </row>
    <row r="542" customFormat="false" ht="12.75" hidden="false" customHeight="true" outlineLevel="0" collapsed="false">
      <c r="D542" s="90"/>
    </row>
    <row r="543" customFormat="false" ht="12.75" hidden="false" customHeight="true" outlineLevel="0" collapsed="false">
      <c r="D543" s="90"/>
    </row>
    <row r="544" customFormat="false" ht="12.75" hidden="false" customHeight="true" outlineLevel="0" collapsed="false">
      <c r="D544" s="90"/>
    </row>
    <row r="545" customFormat="false" ht="12.75" hidden="false" customHeight="true" outlineLevel="0" collapsed="false">
      <c r="D545" s="90"/>
    </row>
    <row r="546" customFormat="false" ht="12.75" hidden="false" customHeight="true" outlineLevel="0" collapsed="false">
      <c r="D546" s="90"/>
    </row>
    <row r="547" customFormat="false" ht="12.75" hidden="false" customHeight="true" outlineLevel="0" collapsed="false">
      <c r="D547" s="90"/>
    </row>
    <row r="548" customFormat="false" ht="12.75" hidden="false" customHeight="true" outlineLevel="0" collapsed="false">
      <c r="D548" s="90"/>
    </row>
    <row r="549" customFormat="false" ht="12.75" hidden="false" customHeight="true" outlineLevel="0" collapsed="false">
      <c r="D549" s="90"/>
    </row>
    <row r="550" customFormat="false" ht="12.75" hidden="false" customHeight="true" outlineLevel="0" collapsed="false">
      <c r="D550" s="90"/>
    </row>
    <row r="551" customFormat="false" ht="12.75" hidden="false" customHeight="true" outlineLevel="0" collapsed="false">
      <c r="D551" s="90"/>
    </row>
    <row r="552" customFormat="false" ht="12.75" hidden="false" customHeight="true" outlineLevel="0" collapsed="false">
      <c r="D552" s="90"/>
    </row>
    <row r="553" customFormat="false" ht="12.75" hidden="false" customHeight="true" outlineLevel="0" collapsed="false">
      <c r="D553" s="90"/>
    </row>
    <row r="554" customFormat="false" ht="12.75" hidden="false" customHeight="true" outlineLevel="0" collapsed="false">
      <c r="D554" s="90"/>
    </row>
    <row r="555" customFormat="false" ht="12.75" hidden="false" customHeight="true" outlineLevel="0" collapsed="false">
      <c r="D555" s="90"/>
    </row>
    <row r="556" customFormat="false" ht="12.75" hidden="false" customHeight="true" outlineLevel="0" collapsed="false">
      <c r="D556" s="90"/>
    </row>
    <row r="557" customFormat="false" ht="12.75" hidden="false" customHeight="true" outlineLevel="0" collapsed="false">
      <c r="D557" s="90"/>
    </row>
    <row r="558" customFormat="false" ht="12.75" hidden="false" customHeight="true" outlineLevel="0" collapsed="false">
      <c r="D558" s="90"/>
    </row>
    <row r="559" customFormat="false" ht="12.75" hidden="false" customHeight="true" outlineLevel="0" collapsed="false">
      <c r="D559" s="90"/>
    </row>
    <row r="560" customFormat="false" ht="12.75" hidden="false" customHeight="true" outlineLevel="0" collapsed="false">
      <c r="D560" s="90"/>
    </row>
    <row r="561" customFormat="false" ht="12.75" hidden="false" customHeight="true" outlineLevel="0" collapsed="false">
      <c r="D561" s="90"/>
    </row>
    <row r="562" customFormat="false" ht="12.75" hidden="false" customHeight="true" outlineLevel="0" collapsed="false">
      <c r="D562" s="90"/>
    </row>
    <row r="563" customFormat="false" ht="12.75" hidden="false" customHeight="true" outlineLevel="0" collapsed="false">
      <c r="D563" s="90"/>
    </row>
    <row r="564" customFormat="false" ht="12.75" hidden="false" customHeight="true" outlineLevel="0" collapsed="false">
      <c r="D564" s="90"/>
    </row>
    <row r="565" customFormat="false" ht="12.75" hidden="false" customHeight="true" outlineLevel="0" collapsed="false">
      <c r="D565" s="90"/>
    </row>
    <row r="566" customFormat="false" ht="12.75" hidden="false" customHeight="true" outlineLevel="0" collapsed="false">
      <c r="D566" s="90"/>
    </row>
    <row r="567" customFormat="false" ht="12.75" hidden="false" customHeight="true" outlineLevel="0" collapsed="false">
      <c r="D567" s="90"/>
    </row>
    <row r="568" customFormat="false" ht="12.75" hidden="false" customHeight="true" outlineLevel="0" collapsed="false">
      <c r="D568" s="90"/>
    </row>
    <row r="569" customFormat="false" ht="12.75" hidden="false" customHeight="true" outlineLevel="0" collapsed="false">
      <c r="D569" s="90"/>
    </row>
    <row r="570" customFormat="false" ht="12.75" hidden="false" customHeight="true" outlineLevel="0" collapsed="false">
      <c r="D570" s="90"/>
    </row>
    <row r="571" customFormat="false" ht="12.75" hidden="false" customHeight="true" outlineLevel="0" collapsed="false">
      <c r="D571" s="90"/>
    </row>
    <row r="572" customFormat="false" ht="12.75" hidden="false" customHeight="true" outlineLevel="0" collapsed="false">
      <c r="D572" s="90"/>
    </row>
    <row r="573" customFormat="false" ht="12.75" hidden="false" customHeight="true" outlineLevel="0" collapsed="false">
      <c r="D573" s="90"/>
    </row>
    <row r="574" customFormat="false" ht="12.75" hidden="false" customHeight="true" outlineLevel="0" collapsed="false">
      <c r="D574" s="90"/>
    </row>
    <row r="575" customFormat="false" ht="12.75" hidden="false" customHeight="true" outlineLevel="0" collapsed="false">
      <c r="D575" s="90"/>
    </row>
    <row r="576" customFormat="false" ht="12.75" hidden="false" customHeight="true" outlineLevel="0" collapsed="false">
      <c r="D576" s="90"/>
    </row>
    <row r="577" customFormat="false" ht="12.75" hidden="false" customHeight="true" outlineLevel="0" collapsed="false">
      <c r="D577" s="90"/>
    </row>
    <row r="578" customFormat="false" ht="12.75" hidden="false" customHeight="true" outlineLevel="0" collapsed="false">
      <c r="D578" s="90"/>
    </row>
    <row r="579" customFormat="false" ht="12.75" hidden="false" customHeight="true" outlineLevel="0" collapsed="false">
      <c r="D579" s="90"/>
    </row>
    <row r="580" customFormat="false" ht="12.75" hidden="false" customHeight="true" outlineLevel="0" collapsed="false">
      <c r="D580" s="90"/>
    </row>
    <row r="581" customFormat="false" ht="12.75" hidden="false" customHeight="true" outlineLevel="0" collapsed="false">
      <c r="D581" s="90"/>
    </row>
    <row r="582" customFormat="false" ht="12.75" hidden="false" customHeight="true" outlineLevel="0" collapsed="false">
      <c r="D582" s="90"/>
    </row>
    <row r="583" customFormat="false" ht="12.75" hidden="false" customHeight="true" outlineLevel="0" collapsed="false">
      <c r="D583" s="90"/>
    </row>
    <row r="584" customFormat="false" ht="12.75" hidden="false" customHeight="true" outlineLevel="0" collapsed="false">
      <c r="D584" s="90"/>
    </row>
    <row r="585" customFormat="false" ht="12.75" hidden="false" customHeight="true" outlineLevel="0" collapsed="false">
      <c r="D585" s="90"/>
    </row>
    <row r="586" customFormat="false" ht="12.75" hidden="false" customHeight="true" outlineLevel="0" collapsed="false">
      <c r="D586" s="90"/>
    </row>
    <row r="587" customFormat="false" ht="12.75" hidden="false" customHeight="true" outlineLevel="0" collapsed="false">
      <c r="D587" s="90"/>
    </row>
    <row r="588" customFormat="false" ht="12.75" hidden="false" customHeight="true" outlineLevel="0" collapsed="false">
      <c r="D588" s="90"/>
    </row>
    <row r="589" customFormat="false" ht="12.75" hidden="false" customHeight="true" outlineLevel="0" collapsed="false">
      <c r="D589" s="90"/>
    </row>
    <row r="590" customFormat="false" ht="12.75" hidden="false" customHeight="true" outlineLevel="0" collapsed="false">
      <c r="D590" s="90"/>
    </row>
    <row r="591" customFormat="false" ht="12.75" hidden="false" customHeight="true" outlineLevel="0" collapsed="false">
      <c r="D591" s="90"/>
    </row>
    <row r="592" customFormat="false" ht="12.75" hidden="false" customHeight="true" outlineLevel="0" collapsed="false">
      <c r="D592" s="90"/>
    </row>
    <row r="593" customFormat="false" ht="12.75" hidden="false" customHeight="true" outlineLevel="0" collapsed="false">
      <c r="D593" s="90"/>
    </row>
    <row r="594" customFormat="false" ht="12.75" hidden="false" customHeight="true" outlineLevel="0" collapsed="false">
      <c r="D594" s="90"/>
    </row>
    <row r="595" customFormat="false" ht="12.75" hidden="false" customHeight="true" outlineLevel="0" collapsed="false">
      <c r="D595" s="90"/>
    </row>
    <row r="596" customFormat="false" ht="12.75" hidden="false" customHeight="true" outlineLevel="0" collapsed="false">
      <c r="D596" s="90"/>
    </row>
    <row r="597" customFormat="false" ht="12.75" hidden="false" customHeight="true" outlineLevel="0" collapsed="false">
      <c r="D597" s="90"/>
    </row>
    <row r="598" customFormat="false" ht="12.75" hidden="false" customHeight="true" outlineLevel="0" collapsed="false">
      <c r="D598" s="90"/>
    </row>
    <row r="599" customFormat="false" ht="12.75" hidden="false" customHeight="true" outlineLevel="0" collapsed="false">
      <c r="D599" s="90"/>
    </row>
    <row r="600" customFormat="false" ht="12.75" hidden="false" customHeight="true" outlineLevel="0" collapsed="false">
      <c r="D600" s="90"/>
    </row>
    <row r="601" customFormat="false" ht="12.75" hidden="false" customHeight="true" outlineLevel="0" collapsed="false">
      <c r="D601" s="90"/>
    </row>
    <row r="602" customFormat="false" ht="12.75" hidden="false" customHeight="true" outlineLevel="0" collapsed="false">
      <c r="D602" s="90"/>
    </row>
    <row r="603" customFormat="false" ht="12.75" hidden="false" customHeight="true" outlineLevel="0" collapsed="false">
      <c r="D603" s="90"/>
    </row>
    <row r="604" customFormat="false" ht="12.75" hidden="false" customHeight="true" outlineLevel="0" collapsed="false">
      <c r="D604" s="90"/>
    </row>
    <row r="605" customFormat="false" ht="12.75" hidden="false" customHeight="true" outlineLevel="0" collapsed="false">
      <c r="D605" s="90"/>
    </row>
    <row r="606" customFormat="false" ht="12.75" hidden="false" customHeight="true" outlineLevel="0" collapsed="false">
      <c r="D606" s="90"/>
    </row>
    <row r="607" customFormat="false" ht="12.75" hidden="false" customHeight="true" outlineLevel="0" collapsed="false">
      <c r="D607" s="90"/>
    </row>
    <row r="608" customFormat="false" ht="12.75" hidden="false" customHeight="true" outlineLevel="0" collapsed="false">
      <c r="D608" s="90"/>
    </row>
    <row r="609" customFormat="false" ht="12.75" hidden="false" customHeight="true" outlineLevel="0" collapsed="false">
      <c r="D609" s="90"/>
    </row>
    <row r="610" customFormat="false" ht="12.75" hidden="false" customHeight="true" outlineLevel="0" collapsed="false">
      <c r="D610" s="90"/>
    </row>
    <row r="611" customFormat="false" ht="12.75" hidden="false" customHeight="true" outlineLevel="0" collapsed="false">
      <c r="D611" s="90"/>
    </row>
    <row r="612" customFormat="false" ht="12.75" hidden="false" customHeight="true" outlineLevel="0" collapsed="false">
      <c r="D612" s="90"/>
    </row>
    <row r="613" customFormat="false" ht="12.75" hidden="false" customHeight="true" outlineLevel="0" collapsed="false">
      <c r="D613" s="90"/>
    </row>
    <row r="614" customFormat="false" ht="12.75" hidden="false" customHeight="true" outlineLevel="0" collapsed="false">
      <c r="D614" s="90"/>
    </row>
    <row r="615" customFormat="false" ht="12.75" hidden="false" customHeight="true" outlineLevel="0" collapsed="false">
      <c r="D615" s="90"/>
    </row>
    <row r="616" customFormat="false" ht="12.75" hidden="false" customHeight="true" outlineLevel="0" collapsed="false">
      <c r="D616" s="90"/>
    </row>
    <row r="617" customFormat="false" ht="12.75" hidden="false" customHeight="true" outlineLevel="0" collapsed="false">
      <c r="D617" s="90"/>
    </row>
    <row r="618" customFormat="false" ht="12.75" hidden="false" customHeight="true" outlineLevel="0" collapsed="false">
      <c r="D618" s="90"/>
    </row>
    <row r="619" customFormat="false" ht="12.75" hidden="false" customHeight="true" outlineLevel="0" collapsed="false">
      <c r="D619" s="90"/>
    </row>
    <row r="620" customFormat="false" ht="12.75" hidden="false" customHeight="true" outlineLevel="0" collapsed="false">
      <c r="D620" s="90"/>
    </row>
    <row r="621" customFormat="false" ht="12.75" hidden="false" customHeight="true" outlineLevel="0" collapsed="false">
      <c r="D621" s="90"/>
    </row>
    <row r="622" customFormat="false" ht="12.75" hidden="false" customHeight="true" outlineLevel="0" collapsed="false">
      <c r="D622" s="90"/>
    </row>
    <row r="623" customFormat="false" ht="12.75" hidden="false" customHeight="true" outlineLevel="0" collapsed="false">
      <c r="D623" s="90"/>
    </row>
    <row r="624" customFormat="false" ht="12.75" hidden="false" customHeight="true" outlineLevel="0" collapsed="false">
      <c r="D624" s="90"/>
    </row>
    <row r="625" customFormat="false" ht="12.75" hidden="false" customHeight="true" outlineLevel="0" collapsed="false">
      <c r="D625" s="90"/>
    </row>
    <row r="626" customFormat="false" ht="12.75" hidden="false" customHeight="true" outlineLevel="0" collapsed="false">
      <c r="D626" s="90"/>
    </row>
    <row r="627" customFormat="false" ht="12.75" hidden="false" customHeight="true" outlineLevel="0" collapsed="false">
      <c r="D627" s="90"/>
    </row>
    <row r="628" customFormat="false" ht="12.75" hidden="false" customHeight="true" outlineLevel="0" collapsed="false">
      <c r="D628" s="90"/>
    </row>
    <row r="629" customFormat="false" ht="12.75" hidden="false" customHeight="true" outlineLevel="0" collapsed="false">
      <c r="D629" s="90"/>
    </row>
    <row r="630" customFormat="false" ht="12.75" hidden="false" customHeight="true" outlineLevel="0" collapsed="false">
      <c r="D630" s="90"/>
    </row>
    <row r="631" customFormat="false" ht="12.75" hidden="false" customHeight="true" outlineLevel="0" collapsed="false">
      <c r="D631" s="90"/>
    </row>
    <row r="632" customFormat="false" ht="12.75" hidden="false" customHeight="true" outlineLevel="0" collapsed="false">
      <c r="D632" s="90"/>
    </row>
    <row r="633" customFormat="false" ht="12.75" hidden="false" customHeight="true" outlineLevel="0" collapsed="false">
      <c r="D633" s="90"/>
    </row>
    <row r="634" customFormat="false" ht="12.75" hidden="false" customHeight="true" outlineLevel="0" collapsed="false">
      <c r="D634" s="90"/>
    </row>
    <row r="635" customFormat="false" ht="12.75" hidden="false" customHeight="true" outlineLevel="0" collapsed="false">
      <c r="D635" s="90"/>
    </row>
    <row r="636" customFormat="false" ht="12.75" hidden="false" customHeight="true" outlineLevel="0" collapsed="false">
      <c r="D636" s="90"/>
    </row>
    <row r="637" customFormat="false" ht="12.75" hidden="false" customHeight="true" outlineLevel="0" collapsed="false">
      <c r="D637" s="90"/>
    </row>
    <row r="638" customFormat="false" ht="12.75" hidden="false" customHeight="true" outlineLevel="0" collapsed="false">
      <c r="D638" s="90"/>
    </row>
    <row r="639" customFormat="false" ht="12.75" hidden="false" customHeight="true" outlineLevel="0" collapsed="false">
      <c r="D639" s="90"/>
    </row>
    <row r="640" customFormat="false" ht="12.75" hidden="false" customHeight="true" outlineLevel="0" collapsed="false">
      <c r="D640" s="90"/>
    </row>
    <row r="641" customFormat="false" ht="12.75" hidden="false" customHeight="true" outlineLevel="0" collapsed="false">
      <c r="D641" s="90"/>
    </row>
    <row r="642" customFormat="false" ht="12.75" hidden="false" customHeight="true" outlineLevel="0" collapsed="false">
      <c r="D642" s="90"/>
    </row>
    <row r="643" customFormat="false" ht="12.75" hidden="false" customHeight="true" outlineLevel="0" collapsed="false">
      <c r="D643" s="90"/>
    </row>
    <row r="644" customFormat="false" ht="12.75" hidden="false" customHeight="true" outlineLevel="0" collapsed="false">
      <c r="D644" s="90"/>
    </row>
    <row r="645" customFormat="false" ht="12.75" hidden="false" customHeight="true" outlineLevel="0" collapsed="false">
      <c r="D645" s="90"/>
    </row>
    <row r="646" customFormat="false" ht="12.75" hidden="false" customHeight="true" outlineLevel="0" collapsed="false">
      <c r="D646" s="90"/>
    </row>
    <row r="647" customFormat="false" ht="12.75" hidden="false" customHeight="true" outlineLevel="0" collapsed="false">
      <c r="D647" s="90"/>
    </row>
    <row r="648" customFormat="false" ht="12.75" hidden="false" customHeight="true" outlineLevel="0" collapsed="false">
      <c r="D648" s="90"/>
    </row>
    <row r="649" customFormat="false" ht="12.75" hidden="false" customHeight="true" outlineLevel="0" collapsed="false">
      <c r="D649" s="90"/>
    </row>
    <row r="650" customFormat="false" ht="12.75" hidden="false" customHeight="true" outlineLevel="0" collapsed="false">
      <c r="D650" s="90"/>
    </row>
    <row r="651" customFormat="false" ht="12.75" hidden="false" customHeight="true" outlineLevel="0" collapsed="false">
      <c r="D651" s="90"/>
    </row>
    <row r="652" customFormat="false" ht="12.75" hidden="false" customHeight="true" outlineLevel="0" collapsed="false">
      <c r="D652" s="90"/>
    </row>
    <row r="653" customFormat="false" ht="12.75" hidden="false" customHeight="true" outlineLevel="0" collapsed="false">
      <c r="D653" s="90"/>
    </row>
    <row r="654" customFormat="false" ht="12.75" hidden="false" customHeight="true" outlineLevel="0" collapsed="false">
      <c r="D654" s="90"/>
    </row>
    <row r="655" customFormat="false" ht="12.75" hidden="false" customHeight="true" outlineLevel="0" collapsed="false">
      <c r="D655" s="90"/>
    </row>
    <row r="656" customFormat="false" ht="12.75" hidden="false" customHeight="true" outlineLevel="0" collapsed="false">
      <c r="D656" s="90"/>
    </row>
    <row r="657" customFormat="false" ht="12.75" hidden="false" customHeight="true" outlineLevel="0" collapsed="false">
      <c r="D657" s="90"/>
    </row>
    <row r="658" customFormat="false" ht="12.75" hidden="false" customHeight="true" outlineLevel="0" collapsed="false">
      <c r="D658" s="90"/>
    </row>
    <row r="659" customFormat="false" ht="12.75" hidden="false" customHeight="true" outlineLevel="0" collapsed="false">
      <c r="D659" s="90"/>
    </row>
    <row r="660" customFormat="false" ht="12.75" hidden="false" customHeight="true" outlineLevel="0" collapsed="false">
      <c r="D660" s="90"/>
    </row>
    <row r="661" customFormat="false" ht="12.75" hidden="false" customHeight="true" outlineLevel="0" collapsed="false">
      <c r="D661" s="90"/>
    </row>
    <row r="662" customFormat="false" ht="12.75" hidden="false" customHeight="true" outlineLevel="0" collapsed="false">
      <c r="D662" s="90"/>
    </row>
    <row r="663" customFormat="false" ht="12.75" hidden="false" customHeight="true" outlineLevel="0" collapsed="false">
      <c r="D663" s="90"/>
    </row>
    <row r="664" customFormat="false" ht="12.75" hidden="false" customHeight="true" outlineLevel="0" collapsed="false">
      <c r="D664" s="90"/>
    </row>
    <row r="665" customFormat="false" ht="12.75" hidden="false" customHeight="true" outlineLevel="0" collapsed="false">
      <c r="D665" s="90"/>
    </row>
    <row r="666" customFormat="false" ht="12.75" hidden="false" customHeight="true" outlineLevel="0" collapsed="false">
      <c r="D666" s="90"/>
    </row>
    <row r="667" customFormat="false" ht="12.75" hidden="false" customHeight="true" outlineLevel="0" collapsed="false">
      <c r="D667" s="90"/>
    </row>
    <row r="668" customFormat="false" ht="12.75" hidden="false" customHeight="true" outlineLevel="0" collapsed="false">
      <c r="D668" s="90"/>
    </row>
    <row r="669" customFormat="false" ht="12.75" hidden="false" customHeight="true" outlineLevel="0" collapsed="false">
      <c r="D669" s="90"/>
    </row>
    <row r="670" customFormat="false" ht="12.75" hidden="false" customHeight="true" outlineLevel="0" collapsed="false">
      <c r="D670" s="90"/>
    </row>
    <row r="671" customFormat="false" ht="12.75" hidden="false" customHeight="true" outlineLevel="0" collapsed="false">
      <c r="D671" s="90"/>
    </row>
    <row r="672" customFormat="false" ht="12.75" hidden="false" customHeight="true" outlineLevel="0" collapsed="false">
      <c r="D672" s="90"/>
    </row>
    <row r="673" customFormat="false" ht="12.75" hidden="false" customHeight="true" outlineLevel="0" collapsed="false">
      <c r="D673" s="90"/>
    </row>
    <row r="674" customFormat="false" ht="12.75" hidden="false" customHeight="true" outlineLevel="0" collapsed="false">
      <c r="D674" s="90"/>
    </row>
    <row r="675" customFormat="false" ht="12.75" hidden="false" customHeight="true" outlineLevel="0" collapsed="false">
      <c r="D675" s="90"/>
    </row>
    <row r="676" customFormat="false" ht="12.75" hidden="false" customHeight="true" outlineLevel="0" collapsed="false">
      <c r="D676" s="90"/>
    </row>
    <row r="677" customFormat="false" ht="12.75" hidden="false" customHeight="true" outlineLevel="0" collapsed="false">
      <c r="D677" s="90"/>
    </row>
    <row r="678" customFormat="false" ht="12.75" hidden="false" customHeight="true" outlineLevel="0" collapsed="false">
      <c r="D678" s="90"/>
    </row>
    <row r="679" customFormat="false" ht="12.75" hidden="false" customHeight="true" outlineLevel="0" collapsed="false">
      <c r="D679" s="90"/>
    </row>
    <row r="680" customFormat="false" ht="12.75" hidden="false" customHeight="true" outlineLevel="0" collapsed="false">
      <c r="D680" s="90"/>
    </row>
    <row r="681" customFormat="false" ht="12.75" hidden="false" customHeight="true" outlineLevel="0" collapsed="false">
      <c r="D681" s="90"/>
    </row>
    <row r="682" customFormat="false" ht="12.75" hidden="false" customHeight="true" outlineLevel="0" collapsed="false">
      <c r="D682" s="90"/>
    </row>
    <row r="683" customFormat="false" ht="12.75" hidden="false" customHeight="true" outlineLevel="0" collapsed="false">
      <c r="D683" s="90"/>
    </row>
    <row r="684" customFormat="false" ht="12.75" hidden="false" customHeight="true" outlineLevel="0" collapsed="false">
      <c r="D684" s="90"/>
    </row>
    <row r="685" customFormat="false" ht="12.75" hidden="false" customHeight="true" outlineLevel="0" collapsed="false">
      <c r="D685" s="90"/>
    </row>
    <row r="686" customFormat="false" ht="12.75" hidden="false" customHeight="true" outlineLevel="0" collapsed="false">
      <c r="D686" s="90"/>
    </row>
    <row r="687" customFormat="false" ht="12.75" hidden="false" customHeight="true" outlineLevel="0" collapsed="false">
      <c r="D687" s="90"/>
    </row>
    <row r="688" customFormat="false" ht="12.75" hidden="false" customHeight="true" outlineLevel="0" collapsed="false">
      <c r="D688" s="90"/>
    </row>
    <row r="689" customFormat="false" ht="12.75" hidden="false" customHeight="true" outlineLevel="0" collapsed="false">
      <c r="D689" s="90"/>
    </row>
    <row r="690" customFormat="false" ht="12.75" hidden="false" customHeight="true" outlineLevel="0" collapsed="false">
      <c r="D690" s="90"/>
    </row>
    <row r="691" customFormat="false" ht="12.75" hidden="false" customHeight="true" outlineLevel="0" collapsed="false">
      <c r="D691" s="90"/>
    </row>
    <row r="692" customFormat="false" ht="12.75" hidden="false" customHeight="true" outlineLevel="0" collapsed="false">
      <c r="D692" s="90"/>
    </row>
    <row r="693" customFormat="false" ht="12.75" hidden="false" customHeight="true" outlineLevel="0" collapsed="false">
      <c r="D693" s="90"/>
    </row>
    <row r="694" customFormat="false" ht="12.75" hidden="false" customHeight="true" outlineLevel="0" collapsed="false">
      <c r="D694" s="90"/>
    </row>
    <row r="695" customFormat="false" ht="12.75" hidden="false" customHeight="true" outlineLevel="0" collapsed="false">
      <c r="D695" s="90"/>
    </row>
    <row r="696" customFormat="false" ht="12.75" hidden="false" customHeight="true" outlineLevel="0" collapsed="false">
      <c r="D696" s="90"/>
    </row>
    <row r="697" customFormat="false" ht="12.75" hidden="false" customHeight="true" outlineLevel="0" collapsed="false">
      <c r="D697" s="90"/>
    </row>
    <row r="698" customFormat="false" ht="12.75" hidden="false" customHeight="true" outlineLevel="0" collapsed="false">
      <c r="D698" s="90"/>
    </row>
    <row r="699" customFormat="false" ht="12.75" hidden="false" customHeight="true" outlineLevel="0" collapsed="false">
      <c r="D699" s="90"/>
    </row>
    <row r="700" customFormat="false" ht="12.75" hidden="false" customHeight="true" outlineLevel="0" collapsed="false">
      <c r="D700" s="90"/>
    </row>
    <row r="701" customFormat="false" ht="12.75" hidden="false" customHeight="true" outlineLevel="0" collapsed="false">
      <c r="D701" s="90"/>
    </row>
    <row r="702" customFormat="false" ht="12.75" hidden="false" customHeight="true" outlineLevel="0" collapsed="false">
      <c r="D702" s="90"/>
    </row>
    <row r="703" customFormat="false" ht="12.75" hidden="false" customHeight="true" outlineLevel="0" collapsed="false">
      <c r="D703" s="90"/>
    </row>
    <row r="704" customFormat="false" ht="12.75" hidden="false" customHeight="true" outlineLevel="0" collapsed="false">
      <c r="D704" s="90"/>
    </row>
    <row r="705" customFormat="false" ht="12.75" hidden="false" customHeight="true" outlineLevel="0" collapsed="false">
      <c r="D705" s="90"/>
    </row>
    <row r="706" customFormat="false" ht="12.75" hidden="false" customHeight="true" outlineLevel="0" collapsed="false">
      <c r="D706" s="90"/>
    </row>
    <row r="707" customFormat="false" ht="12.75" hidden="false" customHeight="true" outlineLevel="0" collapsed="false">
      <c r="D707" s="90"/>
    </row>
    <row r="708" customFormat="false" ht="12.75" hidden="false" customHeight="true" outlineLevel="0" collapsed="false">
      <c r="D708" s="90"/>
    </row>
    <row r="709" customFormat="false" ht="12.75" hidden="false" customHeight="true" outlineLevel="0" collapsed="false">
      <c r="D709" s="90"/>
    </row>
    <row r="710" customFormat="false" ht="12.75" hidden="false" customHeight="true" outlineLevel="0" collapsed="false">
      <c r="D710" s="90"/>
    </row>
    <row r="711" customFormat="false" ht="12.75" hidden="false" customHeight="true" outlineLevel="0" collapsed="false">
      <c r="D711" s="90"/>
    </row>
    <row r="712" customFormat="false" ht="12.75" hidden="false" customHeight="true" outlineLevel="0" collapsed="false">
      <c r="D712" s="90"/>
    </row>
    <row r="713" customFormat="false" ht="12.75" hidden="false" customHeight="true" outlineLevel="0" collapsed="false">
      <c r="D713" s="90"/>
    </row>
    <row r="714" customFormat="false" ht="12.75" hidden="false" customHeight="true" outlineLevel="0" collapsed="false">
      <c r="D714" s="90"/>
    </row>
    <row r="715" customFormat="false" ht="12.75" hidden="false" customHeight="true" outlineLevel="0" collapsed="false">
      <c r="D715" s="90"/>
    </row>
    <row r="716" customFormat="false" ht="12.75" hidden="false" customHeight="true" outlineLevel="0" collapsed="false">
      <c r="D716" s="90"/>
    </row>
    <row r="717" customFormat="false" ht="12.75" hidden="false" customHeight="true" outlineLevel="0" collapsed="false">
      <c r="D717" s="90"/>
    </row>
    <row r="718" customFormat="false" ht="12.75" hidden="false" customHeight="true" outlineLevel="0" collapsed="false">
      <c r="D718" s="90"/>
    </row>
    <row r="719" customFormat="false" ht="12.75" hidden="false" customHeight="true" outlineLevel="0" collapsed="false">
      <c r="D719" s="90"/>
    </row>
    <row r="720" customFormat="false" ht="12.75" hidden="false" customHeight="true" outlineLevel="0" collapsed="false">
      <c r="D720" s="90"/>
    </row>
    <row r="721" customFormat="false" ht="12.75" hidden="false" customHeight="true" outlineLevel="0" collapsed="false">
      <c r="D721" s="90"/>
    </row>
    <row r="722" customFormat="false" ht="12.75" hidden="false" customHeight="true" outlineLevel="0" collapsed="false">
      <c r="D722" s="90"/>
    </row>
    <row r="723" customFormat="false" ht="12.75" hidden="false" customHeight="true" outlineLevel="0" collapsed="false">
      <c r="D723" s="90"/>
    </row>
    <row r="724" customFormat="false" ht="12.75" hidden="false" customHeight="true" outlineLevel="0" collapsed="false">
      <c r="D724" s="90"/>
    </row>
    <row r="725" customFormat="false" ht="12.75" hidden="false" customHeight="true" outlineLevel="0" collapsed="false">
      <c r="D725" s="90"/>
    </row>
    <row r="726" customFormat="false" ht="12.75" hidden="false" customHeight="true" outlineLevel="0" collapsed="false">
      <c r="D726" s="90"/>
    </row>
    <row r="727" customFormat="false" ht="12.75" hidden="false" customHeight="true" outlineLevel="0" collapsed="false">
      <c r="D727" s="90"/>
    </row>
    <row r="728" customFormat="false" ht="12.75" hidden="false" customHeight="true" outlineLevel="0" collapsed="false">
      <c r="D728" s="90"/>
    </row>
    <row r="729" customFormat="false" ht="12.75" hidden="false" customHeight="true" outlineLevel="0" collapsed="false">
      <c r="D729" s="90"/>
    </row>
    <row r="730" customFormat="false" ht="12.75" hidden="false" customHeight="true" outlineLevel="0" collapsed="false">
      <c r="D730" s="90"/>
    </row>
    <row r="731" customFormat="false" ht="12.75" hidden="false" customHeight="true" outlineLevel="0" collapsed="false">
      <c r="D731" s="90"/>
    </row>
    <row r="732" customFormat="false" ht="12.75" hidden="false" customHeight="true" outlineLevel="0" collapsed="false">
      <c r="D732" s="90"/>
    </row>
    <row r="733" customFormat="false" ht="12.75" hidden="false" customHeight="true" outlineLevel="0" collapsed="false">
      <c r="D733" s="90"/>
    </row>
    <row r="734" customFormat="false" ht="12.75" hidden="false" customHeight="true" outlineLevel="0" collapsed="false">
      <c r="D734" s="90"/>
    </row>
    <row r="735" customFormat="false" ht="12.75" hidden="false" customHeight="true" outlineLevel="0" collapsed="false">
      <c r="D735" s="90"/>
    </row>
    <row r="736" customFormat="false" ht="12.75" hidden="false" customHeight="true" outlineLevel="0" collapsed="false">
      <c r="D736" s="90"/>
    </row>
    <row r="737" customFormat="false" ht="12.75" hidden="false" customHeight="true" outlineLevel="0" collapsed="false">
      <c r="D737" s="90"/>
    </row>
    <row r="738" customFormat="false" ht="12.75" hidden="false" customHeight="true" outlineLevel="0" collapsed="false">
      <c r="D738" s="90"/>
    </row>
    <row r="739" customFormat="false" ht="12.75" hidden="false" customHeight="true" outlineLevel="0" collapsed="false">
      <c r="D739" s="90"/>
    </row>
    <row r="740" customFormat="false" ht="12.75" hidden="false" customHeight="true" outlineLevel="0" collapsed="false">
      <c r="D740" s="90"/>
    </row>
    <row r="741" customFormat="false" ht="12.75" hidden="false" customHeight="true" outlineLevel="0" collapsed="false">
      <c r="D741" s="90"/>
    </row>
    <row r="742" customFormat="false" ht="12.75" hidden="false" customHeight="true" outlineLevel="0" collapsed="false">
      <c r="D742" s="90"/>
    </row>
    <row r="743" customFormat="false" ht="12.75" hidden="false" customHeight="true" outlineLevel="0" collapsed="false">
      <c r="D743" s="90"/>
    </row>
    <row r="744" customFormat="false" ht="12.75" hidden="false" customHeight="true" outlineLevel="0" collapsed="false">
      <c r="D744" s="90"/>
    </row>
    <row r="745" customFormat="false" ht="12.75" hidden="false" customHeight="true" outlineLevel="0" collapsed="false">
      <c r="D745" s="90"/>
    </row>
    <row r="746" customFormat="false" ht="12.75" hidden="false" customHeight="true" outlineLevel="0" collapsed="false">
      <c r="D746" s="90"/>
    </row>
    <row r="747" customFormat="false" ht="12.75" hidden="false" customHeight="true" outlineLevel="0" collapsed="false">
      <c r="D747" s="90"/>
    </row>
    <row r="748" customFormat="false" ht="12.75" hidden="false" customHeight="true" outlineLevel="0" collapsed="false">
      <c r="D748" s="90"/>
    </row>
    <row r="749" customFormat="false" ht="12.75" hidden="false" customHeight="true" outlineLevel="0" collapsed="false">
      <c r="D749" s="90"/>
    </row>
    <row r="750" customFormat="false" ht="12.75" hidden="false" customHeight="true" outlineLevel="0" collapsed="false">
      <c r="D750" s="90"/>
    </row>
    <row r="751" customFormat="false" ht="12.75" hidden="false" customHeight="true" outlineLevel="0" collapsed="false">
      <c r="D751" s="90"/>
    </row>
    <row r="752" customFormat="false" ht="12.75" hidden="false" customHeight="true" outlineLevel="0" collapsed="false">
      <c r="D752" s="90"/>
    </row>
    <row r="753" customFormat="false" ht="12.75" hidden="false" customHeight="true" outlineLevel="0" collapsed="false">
      <c r="D753" s="90"/>
    </row>
    <row r="754" customFormat="false" ht="12.75" hidden="false" customHeight="true" outlineLevel="0" collapsed="false">
      <c r="D754" s="90"/>
    </row>
    <row r="755" customFormat="false" ht="12.75" hidden="false" customHeight="true" outlineLevel="0" collapsed="false">
      <c r="D755" s="90"/>
    </row>
    <row r="756" customFormat="false" ht="12.75" hidden="false" customHeight="true" outlineLevel="0" collapsed="false">
      <c r="D756" s="90"/>
    </row>
    <row r="757" customFormat="false" ht="12.75" hidden="false" customHeight="true" outlineLevel="0" collapsed="false">
      <c r="D757" s="90"/>
    </row>
    <row r="758" customFormat="false" ht="12.75" hidden="false" customHeight="true" outlineLevel="0" collapsed="false">
      <c r="D758" s="90"/>
    </row>
    <row r="759" customFormat="false" ht="12.75" hidden="false" customHeight="true" outlineLevel="0" collapsed="false">
      <c r="D759" s="90"/>
    </row>
    <row r="760" customFormat="false" ht="12.75" hidden="false" customHeight="true" outlineLevel="0" collapsed="false">
      <c r="D760" s="90"/>
    </row>
    <row r="761" customFormat="false" ht="12.75" hidden="false" customHeight="true" outlineLevel="0" collapsed="false">
      <c r="D761" s="90"/>
    </row>
    <row r="762" customFormat="false" ht="12.75" hidden="false" customHeight="true" outlineLevel="0" collapsed="false">
      <c r="D762" s="90"/>
    </row>
    <row r="763" customFormat="false" ht="12.75" hidden="false" customHeight="true" outlineLevel="0" collapsed="false">
      <c r="D763" s="90"/>
    </row>
    <row r="764" customFormat="false" ht="12.75" hidden="false" customHeight="true" outlineLevel="0" collapsed="false">
      <c r="D764" s="90"/>
    </row>
    <row r="765" customFormat="false" ht="12.75" hidden="false" customHeight="true" outlineLevel="0" collapsed="false">
      <c r="D765" s="90"/>
    </row>
    <row r="766" customFormat="false" ht="12.75" hidden="false" customHeight="true" outlineLevel="0" collapsed="false">
      <c r="D766" s="90"/>
    </row>
    <row r="767" customFormat="false" ht="12.75" hidden="false" customHeight="true" outlineLevel="0" collapsed="false">
      <c r="D767" s="90"/>
    </row>
    <row r="768" customFormat="false" ht="12.75" hidden="false" customHeight="true" outlineLevel="0" collapsed="false">
      <c r="D768" s="90"/>
    </row>
    <row r="769" customFormat="false" ht="12.75" hidden="false" customHeight="true" outlineLevel="0" collapsed="false">
      <c r="D769" s="90"/>
    </row>
    <row r="770" customFormat="false" ht="12.75" hidden="false" customHeight="true" outlineLevel="0" collapsed="false">
      <c r="D770" s="90"/>
    </row>
    <row r="771" customFormat="false" ht="12.75" hidden="false" customHeight="true" outlineLevel="0" collapsed="false">
      <c r="D771" s="90"/>
    </row>
    <row r="772" customFormat="false" ht="12.75" hidden="false" customHeight="true" outlineLevel="0" collapsed="false">
      <c r="D772" s="90"/>
    </row>
    <row r="773" customFormat="false" ht="12.75" hidden="false" customHeight="true" outlineLevel="0" collapsed="false">
      <c r="D773" s="90"/>
    </row>
    <row r="774" customFormat="false" ht="12.75" hidden="false" customHeight="true" outlineLevel="0" collapsed="false">
      <c r="D774" s="90"/>
    </row>
    <row r="775" customFormat="false" ht="12.75" hidden="false" customHeight="true" outlineLevel="0" collapsed="false">
      <c r="D775" s="90"/>
    </row>
    <row r="776" customFormat="false" ht="12.75" hidden="false" customHeight="true" outlineLevel="0" collapsed="false">
      <c r="D776" s="90"/>
    </row>
    <row r="777" customFormat="false" ht="12.75" hidden="false" customHeight="true" outlineLevel="0" collapsed="false">
      <c r="D777" s="90"/>
    </row>
    <row r="778" customFormat="false" ht="12.75" hidden="false" customHeight="true" outlineLevel="0" collapsed="false">
      <c r="D778" s="90"/>
    </row>
    <row r="779" customFormat="false" ht="12.75" hidden="false" customHeight="true" outlineLevel="0" collapsed="false">
      <c r="D779" s="90"/>
    </row>
    <row r="780" customFormat="false" ht="12.75" hidden="false" customHeight="true" outlineLevel="0" collapsed="false">
      <c r="D780" s="90"/>
    </row>
    <row r="781" customFormat="false" ht="12.75" hidden="false" customHeight="true" outlineLevel="0" collapsed="false">
      <c r="D781" s="90"/>
    </row>
    <row r="782" customFormat="false" ht="12.75" hidden="false" customHeight="true" outlineLevel="0" collapsed="false">
      <c r="D782" s="90"/>
    </row>
    <row r="783" customFormat="false" ht="12.75" hidden="false" customHeight="true" outlineLevel="0" collapsed="false">
      <c r="D783" s="90"/>
    </row>
    <row r="784" customFormat="false" ht="12.75" hidden="false" customHeight="true" outlineLevel="0" collapsed="false">
      <c r="D784" s="90"/>
    </row>
    <row r="785" customFormat="false" ht="12.75" hidden="false" customHeight="true" outlineLevel="0" collapsed="false">
      <c r="D785" s="90"/>
    </row>
    <row r="786" customFormat="false" ht="12.75" hidden="false" customHeight="true" outlineLevel="0" collapsed="false">
      <c r="D786" s="90"/>
    </row>
    <row r="787" customFormat="false" ht="12.75" hidden="false" customHeight="true" outlineLevel="0" collapsed="false">
      <c r="D787" s="90"/>
    </row>
    <row r="788" customFormat="false" ht="12.75" hidden="false" customHeight="true" outlineLevel="0" collapsed="false">
      <c r="D788" s="90"/>
    </row>
    <row r="789" customFormat="false" ht="12.75" hidden="false" customHeight="true" outlineLevel="0" collapsed="false">
      <c r="D789" s="90"/>
    </row>
    <row r="790" customFormat="false" ht="12.75" hidden="false" customHeight="true" outlineLevel="0" collapsed="false">
      <c r="D790" s="90"/>
    </row>
    <row r="791" customFormat="false" ht="12.75" hidden="false" customHeight="true" outlineLevel="0" collapsed="false">
      <c r="D791" s="90"/>
    </row>
    <row r="792" customFormat="false" ht="12.75" hidden="false" customHeight="true" outlineLevel="0" collapsed="false">
      <c r="D792" s="90"/>
    </row>
    <row r="793" customFormat="false" ht="12.75" hidden="false" customHeight="true" outlineLevel="0" collapsed="false">
      <c r="D793" s="90"/>
    </row>
    <row r="794" customFormat="false" ht="12.75" hidden="false" customHeight="true" outlineLevel="0" collapsed="false">
      <c r="D794" s="90"/>
    </row>
    <row r="795" customFormat="false" ht="12.75" hidden="false" customHeight="true" outlineLevel="0" collapsed="false">
      <c r="D795" s="90"/>
    </row>
    <row r="796" customFormat="false" ht="12.75" hidden="false" customHeight="true" outlineLevel="0" collapsed="false">
      <c r="D796" s="90"/>
    </row>
    <row r="797" customFormat="false" ht="12.75" hidden="false" customHeight="true" outlineLevel="0" collapsed="false">
      <c r="D797" s="90"/>
    </row>
    <row r="798" customFormat="false" ht="12.75" hidden="false" customHeight="true" outlineLevel="0" collapsed="false">
      <c r="D798" s="90"/>
    </row>
    <row r="799" customFormat="false" ht="12.75" hidden="false" customHeight="true" outlineLevel="0" collapsed="false">
      <c r="D799" s="90"/>
    </row>
    <row r="800" customFormat="false" ht="12.75" hidden="false" customHeight="true" outlineLevel="0" collapsed="false">
      <c r="D800" s="90"/>
    </row>
    <row r="801" customFormat="false" ht="12.75" hidden="false" customHeight="true" outlineLevel="0" collapsed="false">
      <c r="D801" s="90"/>
    </row>
    <row r="802" customFormat="false" ht="12.75" hidden="false" customHeight="true" outlineLevel="0" collapsed="false">
      <c r="D802" s="90"/>
    </row>
    <row r="803" customFormat="false" ht="12.75" hidden="false" customHeight="true" outlineLevel="0" collapsed="false">
      <c r="D803" s="90"/>
    </row>
    <row r="804" customFormat="false" ht="12.75" hidden="false" customHeight="true" outlineLevel="0" collapsed="false">
      <c r="D804" s="90"/>
    </row>
    <row r="805" customFormat="false" ht="12.75" hidden="false" customHeight="true" outlineLevel="0" collapsed="false">
      <c r="D805" s="90"/>
    </row>
    <row r="806" customFormat="false" ht="12.75" hidden="false" customHeight="true" outlineLevel="0" collapsed="false">
      <c r="D806" s="90"/>
    </row>
    <row r="807" customFormat="false" ht="12.75" hidden="false" customHeight="true" outlineLevel="0" collapsed="false">
      <c r="D807" s="90"/>
    </row>
    <row r="808" customFormat="false" ht="12.75" hidden="false" customHeight="true" outlineLevel="0" collapsed="false">
      <c r="D808" s="90"/>
    </row>
    <row r="809" customFormat="false" ht="12.75" hidden="false" customHeight="true" outlineLevel="0" collapsed="false">
      <c r="D809" s="90"/>
    </row>
    <row r="810" customFormat="false" ht="12.75" hidden="false" customHeight="true" outlineLevel="0" collapsed="false">
      <c r="D810" s="90"/>
    </row>
    <row r="811" customFormat="false" ht="12.75" hidden="false" customHeight="true" outlineLevel="0" collapsed="false">
      <c r="D811" s="90"/>
    </row>
    <row r="812" customFormat="false" ht="12.75" hidden="false" customHeight="true" outlineLevel="0" collapsed="false">
      <c r="D812" s="90"/>
    </row>
    <row r="813" customFormat="false" ht="12.75" hidden="false" customHeight="true" outlineLevel="0" collapsed="false">
      <c r="D813" s="90"/>
    </row>
    <row r="814" customFormat="false" ht="12.75" hidden="false" customHeight="true" outlineLevel="0" collapsed="false">
      <c r="D814" s="90"/>
    </row>
    <row r="815" customFormat="false" ht="12.75" hidden="false" customHeight="true" outlineLevel="0" collapsed="false">
      <c r="D815" s="90"/>
    </row>
    <row r="816" customFormat="false" ht="12.75" hidden="false" customHeight="true" outlineLevel="0" collapsed="false">
      <c r="D816" s="90"/>
    </row>
    <row r="817" customFormat="false" ht="12.75" hidden="false" customHeight="true" outlineLevel="0" collapsed="false">
      <c r="D817" s="90"/>
    </row>
    <row r="818" customFormat="false" ht="12.75" hidden="false" customHeight="true" outlineLevel="0" collapsed="false">
      <c r="D818" s="90"/>
    </row>
    <row r="819" customFormat="false" ht="12.75" hidden="false" customHeight="true" outlineLevel="0" collapsed="false">
      <c r="D819" s="90"/>
    </row>
    <row r="820" customFormat="false" ht="12.75" hidden="false" customHeight="true" outlineLevel="0" collapsed="false">
      <c r="D820" s="90"/>
    </row>
    <row r="821" customFormat="false" ht="12.75" hidden="false" customHeight="true" outlineLevel="0" collapsed="false">
      <c r="D821" s="90"/>
    </row>
    <row r="822" customFormat="false" ht="12.75" hidden="false" customHeight="true" outlineLevel="0" collapsed="false">
      <c r="D822" s="90"/>
    </row>
    <row r="823" customFormat="false" ht="12.75" hidden="false" customHeight="true" outlineLevel="0" collapsed="false">
      <c r="D823" s="90"/>
    </row>
    <row r="824" customFormat="false" ht="12.75" hidden="false" customHeight="true" outlineLevel="0" collapsed="false">
      <c r="D824" s="90"/>
    </row>
    <row r="825" customFormat="false" ht="12.75" hidden="false" customHeight="true" outlineLevel="0" collapsed="false">
      <c r="D825" s="90"/>
    </row>
    <row r="826" customFormat="false" ht="12.75" hidden="false" customHeight="true" outlineLevel="0" collapsed="false">
      <c r="D826" s="90"/>
    </row>
    <row r="827" customFormat="false" ht="12.75" hidden="false" customHeight="true" outlineLevel="0" collapsed="false">
      <c r="D827" s="90"/>
    </row>
    <row r="828" customFormat="false" ht="12.75" hidden="false" customHeight="true" outlineLevel="0" collapsed="false">
      <c r="D828" s="90"/>
    </row>
    <row r="829" customFormat="false" ht="12.75" hidden="false" customHeight="true" outlineLevel="0" collapsed="false">
      <c r="D829" s="90"/>
    </row>
    <row r="830" customFormat="false" ht="12.75" hidden="false" customHeight="true" outlineLevel="0" collapsed="false">
      <c r="D830" s="90"/>
    </row>
    <row r="831" customFormat="false" ht="12.75" hidden="false" customHeight="true" outlineLevel="0" collapsed="false">
      <c r="D831" s="90"/>
    </row>
    <row r="832" customFormat="false" ht="12.75" hidden="false" customHeight="true" outlineLevel="0" collapsed="false">
      <c r="D832" s="90"/>
    </row>
    <row r="833" customFormat="false" ht="12.75" hidden="false" customHeight="true" outlineLevel="0" collapsed="false">
      <c r="D833" s="90"/>
    </row>
    <row r="834" customFormat="false" ht="12.75" hidden="false" customHeight="true" outlineLevel="0" collapsed="false">
      <c r="D834" s="90"/>
    </row>
    <row r="835" customFormat="false" ht="12.75" hidden="false" customHeight="true" outlineLevel="0" collapsed="false">
      <c r="D835" s="90"/>
    </row>
    <row r="836" customFormat="false" ht="12.75" hidden="false" customHeight="true" outlineLevel="0" collapsed="false">
      <c r="D836" s="90"/>
    </row>
    <row r="837" customFormat="false" ht="12.75" hidden="false" customHeight="true" outlineLevel="0" collapsed="false">
      <c r="D837" s="90"/>
    </row>
    <row r="838" customFormat="false" ht="12.75" hidden="false" customHeight="true" outlineLevel="0" collapsed="false">
      <c r="D838" s="90"/>
    </row>
    <row r="839" customFormat="false" ht="12.75" hidden="false" customHeight="true" outlineLevel="0" collapsed="false">
      <c r="D839" s="90"/>
    </row>
    <row r="840" customFormat="false" ht="12.75" hidden="false" customHeight="true" outlineLevel="0" collapsed="false">
      <c r="D840" s="90"/>
    </row>
    <row r="841" customFormat="false" ht="12.75" hidden="false" customHeight="true" outlineLevel="0" collapsed="false">
      <c r="D841" s="90"/>
    </row>
    <row r="842" customFormat="false" ht="12.75" hidden="false" customHeight="true" outlineLevel="0" collapsed="false">
      <c r="D842" s="90"/>
    </row>
    <row r="843" customFormat="false" ht="12.75" hidden="false" customHeight="true" outlineLevel="0" collapsed="false">
      <c r="D843" s="90"/>
    </row>
    <row r="844" customFormat="false" ht="12.75" hidden="false" customHeight="true" outlineLevel="0" collapsed="false">
      <c r="D844" s="90"/>
    </row>
    <row r="845" customFormat="false" ht="12.75" hidden="false" customHeight="true" outlineLevel="0" collapsed="false">
      <c r="D845" s="90"/>
    </row>
    <row r="846" customFormat="false" ht="12.75" hidden="false" customHeight="true" outlineLevel="0" collapsed="false">
      <c r="D846" s="90"/>
    </row>
    <row r="847" customFormat="false" ht="12.75" hidden="false" customHeight="true" outlineLevel="0" collapsed="false">
      <c r="D847" s="90"/>
    </row>
    <row r="848" customFormat="false" ht="12.75" hidden="false" customHeight="true" outlineLevel="0" collapsed="false">
      <c r="D848" s="90"/>
    </row>
    <row r="849" customFormat="false" ht="12.75" hidden="false" customHeight="true" outlineLevel="0" collapsed="false">
      <c r="D849" s="90"/>
    </row>
    <row r="850" customFormat="false" ht="12.75" hidden="false" customHeight="true" outlineLevel="0" collapsed="false">
      <c r="D850" s="90"/>
    </row>
    <row r="851" customFormat="false" ht="12.75" hidden="false" customHeight="true" outlineLevel="0" collapsed="false">
      <c r="D851" s="90"/>
    </row>
    <row r="852" customFormat="false" ht="12.75" hidden="false" customHeight="true" outlineLevel="0" collapsed="false">
      <c r="D852" s="90"/>
    </row>
    <row r="853" customFormat="false" ht="12.75" hidden="false" customHeight="true" outlineLevel="0" collapsed="false">
      <c r="D853" s="90"/>
    </row>
    <row r="854" customFormat="false" ht="12.75" hidden="false" customHeight="true" outlineLevel="0" collapsed="false">
      <c r="D854" s="90"/>
    </row>
    <row r="855" customFormat="false" ht="12.75" hidden="false" customHeight="true" outlineLevel="0" collapsed="false">
      <c r="D855" s="90"/>
    </row>
    <row r="856" customFormat="false" ht="12.75" hidden="false" customHeight="true" outlineLevel="0" collapsed="false">
      <c r="D856" s="90"/>
    </row>
    <row r="857" customFormat="false" ht="12.75" hidden="false" customHeight="true" outlineLevel="0" collapsed="false">
      <c r="D857" s="90"/>
    </row>
    <row r="858" customFormat="false" ht="12.75" hidden="false" customHeight="true" outlineLevel="0" collapsed="false">
      <c r="D858" s="90"/>
    </row>
    <row r="859" customFormat="false" ht="12.75" hidden="false" customHeight="true" outlineLevel="0" collapsed="false">
      <c r="D859" s="90"/>
    </row>
    <row r="860" customFormat="false" ht="12.75" hidden="false" customHeight="true" outlineLevel="0" collapsed="false">
      <c r="D860" s="90"/>
    </row>
    <row r="861" customFormat="false" ht="12.75" hidden="false" customHeight="true" outlineLevel="0" collapsed="false">
      <c r="D861" s="90"/>
    </row>
    <row r="862" customFormat="false" ht="12.75" hidden="false" customHeight="true" outlineLevel="0" collapsed="false">
      <c r="D862" s="90"/>
    </row>
    <row r="863" customFormat="false" ht="12.75" hidden="false" customHeight="true" outlineLevel="0" collapsed="false">
      <c r="D863" s="90"/>
    </row>
    <row r="864" customFormat="false" ht="12.75" hidden="false" customHeight="true" outlineLevel="0" collapsed="false">
      <c r="D864" s="90"/>
    </row>
    <row r="865" customFormat="false" ht="12.75" hidden="false" customHeight="true" outlineLevel="0" collapsed="false">
      <c r="D865" s="90"/>
    </row>
    <row r="866" customFormat="false" ht="12.75" hidden="false" customHeight="true" outlineLevel="0" collapsed="false">
      <c r="D866" s="90"/>
    </row>
    <row r="867" customFormat="false" ht="12.75" hidden="false" customHeight="true" outlineLevel="0" collapsed="false">
      <c r="D867" s="90"/>
    </row>
    <row r="868" customFormat="false" ht="12.75" hidden="false" customHeight="true" outlineLevel="0" collapsed="false">
      <c r="D868" s="90"/>
    </row>
    <row r="869" customFormat="false" ht="12.75" hidden="false" customHeight="true" outlineLevel="0" collapsed="false">
      <c r="D869" s="90"/>
    </row>
    <row r="870" customFormat="false" ht="12.75" hidden="false" customHeight="true" outlineLevel="0" collapsed="false">
      <c r="D870" s="90"/>
    </row>
    <row r="871" customFormat="false" ht="12.75" hidden="false" customHeight="true" outlineLevel="0" collapsed="false">
      <c r="D871" s="90"/>
    </row>
    <row r="872" customFormat="false" ht="12.75" hidden="false" customHeight="true" outlineLevel="0" collapsed="false">
      <c r="D872" s="90"/>
    </row>
    <row r="873" customFormat="false" ht="12.75" hidden="false" customHeight="true" outlineLevel="0" collapsed="false">
      <c r="D873" s="90"/>
    </row>
    <row r="874" customFormat="false" ht="12.75" hidden="false" customHeight="true" outlineLevel="0" collapsed="false">
      <c r="D874" s="90"/>
    </row>
    <row r="875" customFormat="false" ht="12.75" hidden="false" customHeight="true" outlineLevel="0" collapsed="false">
      <c r="D875" s="90"/>
    </row>
    <row r="876" customFormat="false" ht="12.75" hidden="false" customHeight="true" outlineLevel="0" collapsed="false">
      <c r="D876" s="90"/>
    </row>
    <row r="877" customFormat="false" ht="12.75" hidden="false" customHeight="true" outlineLevel="0" collapsed="false">
      <c r="D877" s="90"/>
    </row>
    <row r="878" customFormat="false" ht="12.75" hidden="false" customHeight="true" outlineLevel="0" collapsed="false">
      <c r="D878" s="90"/>
    </row>
    <row r="879" customFormat="false" ht="12.75" hidden="false" customHeight="true" outlineLevel="0" collapsed="false">
      <c r="D879" s="90"/>
    </row>
    <row r="880" customFormat="false" ht="12.75" hidden="false" customHeight="true" outlineLevel="0" collapsed="false">
      <c r="D880" s="90"/>
    </row>
    <row r="881" customFormat="false" ht="12.75" hidden="false" customHeight="true" outlineLevel="0" collapsed="false">
      <c r="D881" s="90"/>
    </row>
    <row r="882" customFormat="false" ht="12.75" hidden="false" customHeight="true" outlineLevel="0" collapsed="false">
      <c r="D882" s="90"/>
    </row>
    <row r="883" customFormat="false" ht="12.75" hidden="false" customHeight="true" outlineLevel="0" collapsed="false">
      <c r="D883" s="90"/>
    </row>
    <row r="884" customFormat="false" ht="12.75" hidden="false" customHeight="true" outlineLevel="0" collapsed="false">
      <c r="D884" s="90"/>
    </row>
    <row r="885" customFormat="false" ht="12.75" hidden="false" customHeight="true" outlineLevel="0" collapsed="false">
      <c r="D885" s="90"/>
    </row>
    <row r="886" customFormat="false" ht="12.75" hidden="false" customHeight="true" outlineLevel="0" collapsed="false">
      <c r="D886" s="90"/>
    </row>
    <row r="887" customFormat="false" ht="12.75" hidden="false" customHeight="true" outlineLevel="0" collapsed="false">
      <c r="D887" s="90"/>
    </row>
    <row r="888" customFormat="false" ht="12.75" hidden="false" customHeight="true" outlineLevel="0" collapsed="false">
      <c r="D888" s="90"/>
    </row>
    <row r="889" customFormat="false" ht="12.75" hidden="false" customHeight="true" outlineLevel="0" collapsed="false">
      <c r="D889" s="90"/>
    </row>
    <row r="890" customFormat="false" ht="12.75" hidden="false" customHeight="true" outlineLevel="0" collapsed="false">
      <c r="D890" s="90"/>
    </row>
    <row r="891" customFormat="false" ht="12.75" hidden="false" customHeight="true" outlineLevel="0" collapsed="false">
      <c r="D891" s="90"/>
    </row>
    <row r="892" customFormat="false" ht="12.75" hidden="false" customHeight="true" outlineLevel="0" collapsed="false">
      <c r="D892" s="90"/>
    </row>
    <row r="893" customFormat="false" ht="12.75" hidden="false" customHeight="true" outlineLevel="0" collapsed="false">
      <c r="D893" s="90"/>
    </row>
    <row r="894" customFormat="false" ht="12.75" hidden="false" customHeight="true" outlineLevel="0" collapsed="false">
      <c r="D894" s="90"/>
    </row>
    <row r="895" customFormat="false" ht="12.75" hidden="false" customHeight="true" outlineLevel="0" collapsed="false">
      <c r="D895" s="90"/>
    </row>
    <row r="896" customFormat="false" ht="12.75" hidden="false" customHeight="true" outlineLevel="0" collapsed="false">
      <c r="D896" s="90"/>
    </row>
    <row r="897" customFormat="false" ht="12.75" hidden="false" customHeight="true" outlineLevel="0" collapsed="false">
      <c r="D897" s="90"/>
    </row>
    <row r="898" customFormat="false" ht="12.75" hidden="false" customHeight="true" outlineLevel="0" collapsed="false">
      <c r="D898" s="90"/>
    </row>
    <row r="899" customFormat="false" ht="12.75" hidden="false" customHeight="true" outlineLevel="0" collapsed="false">
      <c r="D899" s="90"/>
    </row>
    <row r="900" customFormat="false" ht="12.75" hidden="false" customHeight="true" outlineLevel="0" collapsed="false">
      <c r="D900" s="90"/>
    </row>
    <row r="901" customFormat="false" ht="12.75" hidden="false" customHeight="true" outlineLevel="0" collapsed="false">
      <c r="D901" s="90"/>
    </row>
    <row r="902" customFormat="false" ht="12.75" hidden="false" customHeight="true" outlineLevel="0" collapsed="false">
      <c r="D902" s="90"/>
    </row>
    <row r="903" customFormat="false" ht="12.75" hidden="false" customHeight="true" outlineLevel="0" collapsed="false">
      <c r="D903" s="90"/>
    </row>
    <row r="904" customFormat="false" ht="12.75" hidden="false" customHeight="true" outlineLevel="0" collapsed="false">
      <c r="D904" s="90"/>
    </row>
    <row r="905" customFormat="false" ht="12.75" hidden="false" customHeight="true" outlineLevel="0" collapsed="false">
      <c r="D905" s="90"/>
    </row>
    <row r="906" customFormat="false" ht="12.75" hidden="false" customHeight="true" outlineLevel="0" collapsed="false">
      <c r="D906" s="90"/>
    </row>
    <row r="907" customFormat="false" ht="12.75" hidden="false" customHeight="true" outlineLevel="0" collapsed="false">
      <c r="D907" s="90"/>
    </row>
    <row r="908" customFormat="false" ht="12.75" hidden="false" customHeight="true" outlineLevel="0" collapsed="false">
      <c r="D908" s="90"/>
    </row>
    <row r="909" customFormat="false" ht="12.75" hidden="false" customHeight="true" outlineLevel="0" collapsed="false">
      <c r="D909" s="90"/>
    </row>
    <row r="910" customFormat="false" ht="12.75" hidden="false" customHeight="true" outlineLevel="0" collapsed="false">
      <c r="D910" s="90"/>
    </row>
    <row r="911" customFormat="false" ht="12.75" hidden="false" customHeight="true" outlineLevel="0" collapsed="false">
      <c r="D911" s="90"/>
    </row>
    <row r="912" customFormat="false" ht="12.75" hidden="false" customHeight="true" outlineLevel="0" collapsed="false">
      <c r="D912" s="90"/>
    </row>
    <row r="913" customFormat="false" ht="12.75" hidden="false" customHeight="true" outlineLevel="0" collapsed="false">
      <c r="D913" s="90"/>
    </row>
    <row r="914" customFormat="false" ht="12.75" hidden="false" customHeight="true" outlineLevel="0" collapsed="false">
      <c r="D914" s="90"/>
    </row>
    <row r="915" customFormat="false" ht="12.75" hidden="false" customHeight="true" outlineLevel="0" collapsed="false">
      <c r="D915" s="90"/>
    </row>
    <row r="916" customFormat="false" ht="12.75" hidden="false" customHeight="true" outlineLevel="0" collapsed="false">
      <c r="D916" s="90"/>
    </row>
    <row r="917" customFormat="false" ht="12.75" hidden="false" customHeight="true" outlineLevel="0" collapsed="false">
      <c r="D917" s="90"/>
    </row>
    <row r="918" customFormat="false" ht="12.75" hidden="false" customHeight="true" outlineLevel="0" collapsed="false">
      <c r="D918" s="90"/>
    </row>
    <row r="919" customFormat="false" ht="12.75" hidden="false" customHeight="true" outlineLevel="0" collapsed="false">
      <c r="D919" s="90"/>
    </row>
    <row r="920" customFormat="false" ht="12.75" hidden="false" customHeight="true" outlineLevel="0" collapsed="false">
      <c r="D920" s="90"/>
    </row>
    <row r="921" customFormat="false" ht="12.75" hidden="false" customHeight="true" outlineLevel="0" collapsed="false">
      <c r="D921" s="90"/>
    </row>
    <row r="922" customFormat="false" ht="12.75" hidden="false" customHeight="true" outlineLevel="0" collapsed="false">
      <c r="D922" s="90"/>
    </row>
    <row r="923" customFormat="false" ht="12.75" hidden="false" customHeight="true" outlineLevel="0" collapsed="false">
      <c r="D923" s="90"/>
    </row>
    <row r="924" customFormat="false" ht="12.75" hidden="false" customHeight="true" outlineLevel="0" collapsed="false">
      <c r="D924" s="90"/>
    </row>
    <row r="925" customFormat="false" ht="12.75" hidden="false" customHeight="true" outlineLevel="0" collapsed="false">
      <c r="D925" s="90"/>
    </row>
    <row r="926" customFormat="false" ht="12.75" hidden="false" customHeight="true" outlineLevel="0" collapsed="false">
      <c r="D926" s="90"/>
    </row>
    <row r="927" customFormat="false" ht="12.75" hidden="false" customHeight="true" outlineLevel="0" collapsed="false">
      <c r="D927" s="90"/>
    </row>
    <row r="928" customFormat="false" ht="12.75" hidden="false" customHeight="true" outlineLevel="0" collapsed="false">
      <c r="D928" s="90"/>
    </row>
    <row r="929" customFormat="false" ht="12.75" hidden="false" customHeight="true" outlineLevel="0" collapsed="false">
      <c r="D929" s="90"/>
    </row>
    <row r="930" customFormat="false" ht="12.75" hidden="false" customHeight="true" outlineLevel="0" collapsed="false">
      <c r="D930" s="90"/>
    </row>
    <row r="931" customFormat="false" ht="12.75" hidden="false" customHeight="true" outlineLevel="0" collapsed="false">
      <c r="D931" s="90"/>
    </row>
    <row r="932" customFormat="false" ht="12.75" hidden="false" customHeight="true" outlineLevel="0" collapsed="false">
      <c r="D932" s="90"/>
    </row>
    <row r="933" customFormat="false" ht="12.75" hidden="false" customHeight="true" outlineLevel="0" collapsed="false">
      <c r="D933" s="90"/>
    </row>
    <row r="934" customFormat="false" ht="12.75" hidden="false" customHeight="true" outlineLevel="0" collapsed="false">
      <c r="D934" s="90"/>
    </row>
    <row r="935" customFormat="false" ht="12.75" hidden="false" customHeight="true" outlineLevel="0" collapsed="false">
      <c r="D935" s="90"/>
    </row>
    <row r="936" customFormat="false" ht="12.75" hidden="false" customHeight="true" outlineLevel="0" collapsed="false">
      <c r="D936" s="90"/>
    </row>
    <row r="937" customFormat="false" ht="12.75" hidden="false" customHeight="true" outlineLevel="0" collapsed="false">
      <c r="D937" s="90"/>
    </row>
    <row r="938" customFormat="false" ht="12.75" hidden="false" customHeight="true" outlineLevel="0" collapsed="false">
      <c r="D938" s="90"/>
    </row>
    <row r="939" customFormat="false" ht="12.75" hidden="false" customHeight="true" outlineLevel="0" collapsed="false">
      <c r="D939" s="90"/>
    </row>
    <row r="940" customFormat="false" ht="12.75" hidden="false" customHeight="true" outlineLevel="0" collapsed="false">
      <c r="D940" s="90"/>
    </row>
    <row r="941" customFormat="false" ht="12.75" hidden="false" customHeight="true" outlineLevel="0" collapsed="false">
      <c r="D941" s="90"/>
    </row>
    <row r="942" customFormat="false" ht="12.75" hidden="false" customHeight="true" outlineLevel="0" collapsed="false">
      <c r="D942" s="90"/>
    </row>
    <row r="943" customFormat="false" ht="12.75" hidden="false" customHeight="true" outlineLevel="0" collapsed="false">
      <c r="D943" s="90"/>
    </row>
    <row r="944" customFormat="false" ht="12.75" hidden="false" customHeight="true" outlineLevel="0" collapsed="false">
      <c r="D944" s="90"/>
    </row>
    <row r="945" customFormat="false" ht="12.75" hidden="false" customHeight="true" outlineLevel="0" collapsed="false">
      <c r="D945" s="90"/>
    </row>
    <row r="946" customFormat="false" ht="12.75" hidden="false" customHeight="true" outlineLevel="0" collapsed="false">
      <c r="D946" s="90"/>
    </row>
    <row r="947" customFormat="false" ht="12.75" hidden="false" customHeight="true" outlineLevel="0" collapsed="false">
      <c r="D947" s="90"/>
    </row>
    <row r="948" customFormat="false" ht="12.75" hidden="false" customHeight="true" outlineLevel="0" collapsed="false">
      <c r="D948" s="90"/>
    </row>
    <row r="949" customFormat="false" ht="12.75" hidden="false" customHeight="true" outlineLevel="0" collapsed="false">
      <c r="D949" s="90"/>
    </row>
    <row r="950" customFormat="false" ht="12.75" hidden="false" customHeight="true" outlineLevel="0" collapsed="false">
      <c r="D950" s="90"/>
    </row>
    <row r="951" customFormat="false" ht="12.75" hidden="false" customHeight="true" outlineLevel="0" collapsed="false">
      <c r="D951" s="90"/>
    </row>
    <row r="952" customFormat="false" ht="12.75" hidden="false" customHeight="true" outlineLevel="0" collapsed="false">
      <c r="D952" s="90"/>
    </row>
    <row r="953" customFormat="false" ht="12.75" hidden="false" customHeight="true" outlineLevel="0" collapsed="false">
      <c r="D953" s="90"/>
    </row>
    <row r="954" customFormat="false" ht="12.75" hidden="false" customHeight="true" outlineLevel="0" collapsed="false">
      <c r="D954" s="90"/>
    </row>
    <row r="955" customFormat="false" ht="12.75" hidden="false" customHeight="true" outlineLevel="0" collapsed="false">
      <c r="D955" s="90"/>
    </row>
    <row r="956" customFormat="false" ht="12.75" hidden="false" customHeight="true" outlineLevel="0" collapsed="false">
      <c r="D956" s="90"/>
    </row>
    <row r="957" customFormat="false" ht="12.75" hidden="false" customHeight="true" outlineLevel="0" collapsed="false">
      <c r="D957" s="90"/>
    </row>
    <row r="958" customFormat="false" ht="12.75" hidden="false" customHeight="true" outlineLevel="0" collapsed="false">
      <c r="D958" s="90"/>
    </row>
    <row r="959" customFormat="false" ht="12.75" hidden="false" customHeight="true" outlineLevel="0" collapsed="false">
      <c r="D959" s="90"/>
    </row>
    <row r="960" customFormat="false" ht="12.75" hidden="false" customHeight="true" outlineLevel="0" collapsed="false">
      <c r="D960" s="90"/>
    </row>
    <row r="961" customFormat="false" ht="12.75" hidden="false" customHeight="true" outlineLevel="0" collapsed="false">
      <c r="D961" s="90"/>
    </row>
    <row r="962" customFormat="false" ht="12.75" hidden="false" customHeight="true" outlineLevel="0" collapsed="false">
      <c r="D962" s="90"/>
    </row>
    <row r="963" customFormat="false" ht="12.75" hidden="false" customHeight="true" outlineLevel="0" collapsed="false">
      <c r="D963" s="90"/>
    </row>
    <row r="964" customFormat="false" ht="12.75" hidden="false" customHeight="true" outlineLevel="0" collapsed="false">
      <c r="D964" s="90"/>
    </row>
    <row r="965" customFormat="false" ht="12.75" hidden="false" customHeight="true" outlineLevel="0" collapsed="false">
      <c r="D965" s="90"/>
    </row>
    <row r="966" customFormat="false" ht="12.75" hidden="false" customHeight="true" outlineLevel="0" collapsed="false">
      <c r="D966" s="90"/>
    </row>
    <row r="967" customFormat="false" ht="12.75" hidden="false" customHeight="true" outlineLevel="0" collapsed="false">
      <c r="D967" s="90"/>
    </row>
    <row r="968" customFormat="false" ht="12.75" hidden="false" customHeight="true" outlineLevel="0" collapsed="false">
      <c r="D968" s="90"/>
    </row>
    <row r="969" customFormat="false" ht="12.75" hidden="false" customHeight="true" outlineLevel="0" collapsed="false">
      <c r="D969" s="90"/>
    </row>
    <row r="970" customFormat="false" ht="12.75" hidden="false" customHeight="true" outlineLevel="0" collapsed="false">
      <c r="D970" s="90"/>
    </row>
    <row r="971" customFormat="false" ht="12.75" hidden="false" customHeight="true" outlineLevel="0" collapsed="false">
      <c r="D971" s="90"/>
    </row>
    <row r="972" customFormat="false" ht="12.75" hidden="false" customHeight="true" outlineLevel="0" collapsed="false">
      <c r="D972" s="90"/>
    </row>
    <row r="973" customFormat="false" ht="12.75" hidden="false" customHeight="true" outlineLevel="0" collapsed="false">
      <c r="D973" s="90"/>
    </row>
    <row r="974" customFormat="false" ht="12.75" hidden="false" customHeight="true" outlineLevel="0" collapsed="false">
      <c r="D974" s="90"/>
    </row>
    <row r="975" customFormat="false" ht="12.75" hidden="false" customHeight="true" outlineLevel="0" collapsed="false">
      <c r="D975" s="90"/>
    </row>
    <row r="976" customFormat="false" ht="12.75" hidden="false" customHeight="true" outlineLevel="0" collapsed="false">
      <c r="D976" s="90"/>
    </row>
    <row r="977" customFormat="false" ht="12.75" hidden="false" customHeight="true" outlineLevel="0" collapsed="false">
      <c r="D977" s="90"/>
    </row>
    <row r="978" customFormat="false" ht="12.75" hidden="false" customHeight="true" outlineLevel="0" collapsed="false">
      <c r="D978" s="90"/>
    </row>
    <row r="979" customFormat="false" ht="12.75" hidden="false" customHeight="true" outlineLevel="0" collapsed="false">
      <c r="D979" s="90"/>
    </row>
    <row r="980" customFormat="false" ht="12.75" hidden="false" customHeight="true" outlineLevel="0" collapsed="false">
      <c r="D980" s="90"/>
    </row>
    <row r="981" customFormat="false" ht="12.75" hidden="false" customHeight="true" outlineLevel="0" collapsed="false">
      <c r="D981" s="90"/>
    </row>
    <row r="982" customFormat="false" ht="12.75" hidden="false" customHeight="true" outlineLevel="0" collapsed="false">
      <c r="D982" s="90"/>
    </row>
    <row r="983" customFormat="false" ht="12.75" hidden="false" customHeight="true" outlineLevel="0" collapsed="false">
      <c r="D983" s="90"/>
    </row>
    <row r="984" customFormat="false" ht="12.75" hidden="false" customHeight="true" outlineLevel="0" collapsed="false">
      <c r="D984" s="90"/>
    </row>
    <row r="985" customFormat="false" ht="12.75" hidden="false" customHeight="true" outlineLevel="0" collapsed="false">
      <c r="D985" s="90"/>
    </row>
    <row r="986" customFormat="false" ht="12.75" hidden="false" customHeight="true" outlineLevel="0" collapsed="false">
      <c r="D986" s="90"/>
    </row>
    <row r="987" customFormat="false" ht="12.75" hidden="false" customHeight="true" outlineLevel="0" collapsed="false">
      <c r="D987" s="90"/>
    </row>
    <row r="988" customFormat="false" ht="12.75" hidden="false" customHeight="true" outlineLevel="0" collapsed="false">
      <c r="D988" s="90"/>
    </row>
    <row r="989" customFormat="false" ht="12.75" hidden="false" customHeight="true" outlineLevel="0" collapsed="false">
      <c r="D989" s="90"/>
    </row>
    <row r="990" customFormat="false" ht="12.75" hidden="false" customHeight="true" outlineLevel="0" collapsed="false">
      <c r="D990" s="90"/>
    </row>
    <row r="991" customFormat="false" ht="12.75" hidden="false" customHeight="true" outlineLevel="0" collapsed="false">
      <c r="D991" s="90"/>
    </row>
    <row r="992" customFormat="false" ht="12.75" hidden="false" customHeight="true" outlineLevel="0" collapsed="false">
      <c r="D992" s="90"/>
    </row>
    <row r="993" customFormat="false" ht="12.75" hidden="false" customHeight="true" outlineLevel="0" collapsed="false">
      <c r="D993" s="90"/>
    </row>
    <row r="994" customFormat="false" ht="12.75" hidden="false" customHeight="true" outlineLevel="0" collapsed="false">
      <c r="D994" s="90"/>
    </row>
    <row r="995" customFormat="false" ht="12.75" hidden="false" customHeight="true" outlineLevel="0" collapsed="false">
      <c r="D995" s="90"/>
    </row>
    <row r="996" customFormat="false" ht="12.75" hidden="false" customHeight="true" outlineLevel="0" collapsed="false">
      <c r="D996" s="9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.75" zeroHeight="false" outlineLevelRow="0" outlineLevelCol="0"/>
  <sheetData>
    <row r="1" customFormat="false" ht="15.75" hidden="false" customHeight="true" outlineLevel="0" collapsed="false">
      <c r="A1" s="103" t="s">
        <v>693</v>
      </c>
      <c r="B1" s="104" t="s">
        <v>694</v>
      </c>
      <c r="C1" s="67" t="s">
        <v>695</v>
      </c>
      <c r="D1" s="76" t="s">
        <v>696</v>
      </c>
      <c r="E1" s="4" t="s">
        <v>697</v>
      </c>
      <c r="F1" s="1" t="s">
        <v>698</v>
      </c>
    </row>
    <row r="2" customFormat="false" ht="15.75" hidden="false" customHeight="true" outlineLevel="0" collapsed="false">
      <c r="A2" s="105" t="n">
        <v>45587</v>
      </c>
      <c r="B2" s="106" t="n">
        <v>3000</v>
      </c>
      <c r="C2" s="1" t="n">
        <f aca="false">ROUND(B2/E2,2)</f>
        <v>912.1</v>
      </c>
      <c r="E2" s="1" t="n">
        <v>3.2891</v>
      </c>
    </row>
    <row r="3" customFormat="false" ht="15.75" hidden="false" customHeight="true" outlineLevel="0" collapsed="false">
      <c r="A3" s="107" t="n">
        <v>45597</v>
      </c>
      <c r="B3" s="108" t="n">
        <v>3000</v>
      </c>
      <c r="C3" s="1" t="n">
        <f aca="false">ROUND(B3/E3,2)</f>
        <v>904.65</v>
      </c>
      <c r="E3" s="1" t="n">
        <v>3.3162</v>
      </c>
    </row>
    <row r="4" customFormat="false" ht="15.75" hidden="false" customHeight="true" outlineLevel="0" collapsed="false">
      <c r="A4" s="107" t="n">
        <v>45618</v>
      </c>
      <c r="B4" s="108" t="n">
        <v>1000</v>
      </c>
      <c r="C4" s="1" t="n">
        <f aca="false">ROUND(B4/E4,2)</f>
        <v>292.83</v>
      </c>
      <c r="E4" s="1" t="n">
        <v>3.415</v>
      </c>
    </row>
    <row r="5" customFormat="false" ht="15.75" hidden="false" customHeight="true" outlineLevel="0" collapsed="false">
      <c r="A5" s="107" t="n">
        <v>45636</v>
      </c>
      <c r="B5" s="108" t="n">
        <v>2100</v>
      </c>
      <c r="C5" s="1" t="n">
        <f aca="false">ROUND(B5/E5,2)</f>
        <v>621.76</v>
      </c>
      <c r="E5" s="1" t="n">
        <v>3.3775</v>
      </c>
    </row>
    <row r="6" customFormat="false" ht="15.75" hidden="false" customHeight="true" outlineLevel="0" collapsed="false">
      <c r="A6" s="107" t="n">
        <v>45646</v>
      </c>
      <c r="B6" s="109" t="n">
        <v>3000</v>
      </c>
      <c r="C6" s="1" t="n">
        <f aca="false">ROUND(B6/E6,2)</f>
        <v>864.06</v>
      </c>
      <c r="E6" s="1" t="n">
        <v>3.472</v>
      </c>
    </row>
    <row r="7" customFormat="false" ht="15.75" hidden="false" customHeight="true" outlineLevel="0" collapsed="false">
      <c r="A7" s="107" t="n">
        <v>45654</v>
      </c>
      <c r="B7" s="109" t="n">
        <v>1500</v>
      </c>
      <c r="C7" s="1" t="n">
        <f aca="false">ROUND(B7/E7,2)</f>
        <v>440.27</v>
      </c>
      <c r="E7" s="1" t="n">
        <v>3.407</v>
      </c>
    </row>
    <row r="8" customFormat="false" ht="15.75" hidden="false" customHeight="true" outlineLevel="0" collapsed="false">
      <c r="A8" s="107" t="n">
        <v>45667</v>
      </c>
      <c r="B8" s="109" t="n">
        <v>3150</v>
      </c>
      <c r="C8" s="1" t="n">
        <f aca="false">ROUND(B8/E8,2)</f>
        <v>904.68</v>
      </c>
      <c r="E8" s="1" t="n">
        <v>3.4819</v>
      </c>
    </row>
    <row r="9" customFormat="false" ht="15.75" hidden="false" customHeight="true" outlineLevel="0" collapsed="false">
      <c r="A9" s="107" t="n">
        <v>45691</v>
      </c>
      <c r="B9" s="109" t="n">
        <v>1500</v>
      </c>
      <c r="C9" s="1" t="n">
        <f aca="false">ROUND(B9/E9,2)</f>
        <v>441.14</v>
      </c>
      <c r="E9" s="1" t="n">
        <v>3.4003</v>
      </c>
    </row>
    <row r="10" customFormat="false" ht="15.75" hidden="false" customHeight="true" outlineLevel="0" collapsed="false">
      <c r="A10" s="107" t="n">
        <v>45698</v>
      </c>
      <c r="B10" s="109" t="n">
        <v>4200</v>
      </c>
      <c r="C10" s="1" t="n">
        <f aca="false">ROUND(B10/E10,2)</f>
        <v>1238.97</v>
      </c>
      <c r="E10" s="1" t="n">
        <v>3.3899</v>
      </c>
    </row>
    <row r="11" customFormat="false" ht="15.75" hidden="false" customHeight="true" outlineLevel="0" collapsed="false">
      <c r="A11" s="107" t="n">
        <v>45715</v>
      </c>
      <c r="B11" s="109" t="n">
        <v>3000</v>
      </c>
      <c r="C11" s="1" t="n">
        <f aca="false">ROUND(B11/E11,2)</f>
        <v>954.5</v>
      </c>
      <c r="E11" s="1" t="n">
        <v>3.143</v>
      </c>
    </row>
    <row r="12" customFormat="false" ht="15.75" hidden="false" customHeight="true" outlineLevel="0" collapsed="false">
      <c r="A12" s="107" t="n">
        <v>45725</v>
      </c>
      <c r="B12" s="109" t="n">
        <v>3000</v>
      </c>
      <c r="C12" s="1" t="n">
        <f aca="false">ROUND(B12/E12,2)</f>
        <v>927.5</v>
      </c>
      <c r="E12" s="1" t="n">
        <v>3.2345</v>
      </c>
    </row>
    <row r="13" customFormat="false" ht="15.75" hidden="false" customHeight="true" outlineLevel="0" collapsed="false">
      <c r="A13" s="107" t="n">
        <v>45751</v>
      </c>
      <c r="B13" s="109" t="n">
        <v>300</v>
      </c>
      <c r="C13" s="1" t="n">
        <f aca="false">ROUND(B13/E13,2)</f>
        <v>95.97</v>
      </c>
      <c r="E13" s="1" t="n">
        <v>3.1261</v>
      </c>
    </row>
    <row r="14" customFormat="false" ht="15.75" hidden="false" customHeight="true" outlineLevel="0" collapsed="false">
      <c r="A14" s="107" t="n">
        <v>45755</v>
      </c>
      <c r="B14" s="109" t="n">
        <v>7500</v>
      </c>
      <c r="C14" s="1" t="n">
        <f aca="false">ROUND(B14/E14,2)</f>
        <v>2378.16</v>
      </c>
      <c r="E14" s="1" t="n">
        <v>3.1537</v>
      </c>
    </row>
    <row r="15" customFormat="false" ht="15.75" hidden="false" customHeight="true" outlineLevel="0" collapsed="false">
      <c r="A15" s="107" t="n">
        <v>45765</v>
      </c>
      <c r="B15" s="109" t="n">
        <v>600</v>
      </c>
      <c r="C15" s="1" t="n">
        <f aca="false">ROUND(B15/E15,2)</f>
        <v>194.72</v>
      </c>
      <c r="E15" s="1" t="n">
        <v>3.0814</v>
      </c>
    </row>
    <row r="16" customFormat="false" ht="15.75" hidden="false" customHeight="true" outlineLevel="0" collapsed="false">
      <c r="A16" s="110" t="n">
        <v>45773</v>
      </c>
      <c r="B16" s="111" t="n">
        <v>900</v>
      </c>
      <c r="C16" s="1" t="n">
        <f aca="false">ROUND(B16/E16,2)</f>
        <v>294.57</v>
      </c>
      <c r="E16" s="1" t="n">
        <v>3.0553</v>
      </c>
    </row>
    <row r="17" customFormat="false" ht="15.75" hidden="false" customHeight="true" outlineLevel="0" collapsed="false">
      <c r="A17" s="76"/>
      <c r="B17" s="112" t="n">
        <f aca="false">SUM(B2:B16)</f>
        <v>37750</v>
      </c>
      <c r="C17" s="1" t="n">
        <f aca="false">SUM(C2:C16)</f>
        <v>11465.88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70"/>
    <col collapsed="false" customWidth="true" hidden="false" outlineLevel="0" max="8" min="7" style="0" width="14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0" t="s">
        <v>699</v>
      </c>
      <c r="B1" s="2" t="n">
        <v>3.0062</v>
      </c>
    </row>
    <row r="2" customFormat="false" ht="15" hidden="false" customHeight="false" outlineLevel="0" collapsed="false">
      <c r="A2" s="2" t="s">
        <v>700</v>
      </c>
      <c r="B2" s="2" t="s">
        <v>150</v>
      </c>
      <c r="C2" s="2" t="s">
        <v>701</v>
      </c>
      <c r="D2" s="2" t="s">
        <v>702</v>
      </c>
      <c r="E2" s="2" t="s">
        <v>703</v>
      </c>
      <c r="F2" s="2" t="s">
        <v>704</v>
      </c>
      <c r="G2" s="2" t="s">
        <v>705</v>
      </c>
      <c r="H2" s="2" t="s">
        <v>706</v>
      </c>
      <c r="I2" s="2" t="s">
        <v>707</v>
      </c>
    </row>
    <row r="3" customFormat="false" ht="15" hidden="false" customHeight="false" outlineLevel="0" collapsed="false">
      <c r="A3" s="0" t="s">
        <v>633</v>
      </c>
      <c r="B3" s="0" t="s">
        <v>157</v>
      </c>
      <c r="C3" s="0" t="n">
        <v>0.5</v>
      </c>
      <c r="D3" s="0" t="n">
        <f aca="false">(2)/1/$B$1</f>
        <v>0.665291730423791</v>
      </c>
      <c r="E3" s="0" t="s">
        <v>708</v>
      </c>
      <c r="F3" s="0" t="s">
        <v>709</v>
      </c>
      <c r="G3" s="0" t="s">
        <v>710</v>
      </c>
      <c r="H3" s="0" t="s">
        <v>711</v>
      </c>
      <c r="I3" s="0" t="s">
        <v>712</v>
      </c>
    </row>
    <row r="4" customFormat="false" ht="15" hidden="false" customHeight="false" outlineLevel="0" collapsed="false">
      <c r="A4" s="0" t="s">
        <v>193</v>
      </c>
      <c r="B4" s="0" t="s">
        <v>436</v>
      </c>
      <c r="C4" s="0" t="n">
        <v>5</v>
      </c>
      <c r="D4" s="0" t="n">
        <f aca="false">(40)/1/$B$1</f>
        <v>13.3058346084758</v>
      </c>
      <c r="E4" s="0" t="s">
        <v>713</v>
      </c>
      <c r="F4" s="0" t="s">
        <v>714</v>
      </c>
      <c r="G4" s="0" t="s">
        <v>158</v>
      </c>
      <c r="H4" s="0" t="s">
        <v>715</v>
      </c>
      <c r="I4" s="0" t="s">
        <v>712</v>
      </c>
    </row>
    <row r="5" customFormat="false" ht="15" hidden="false" customHeight="false" outlineLevel="0" collapsed="false">
      <c r="A5" s="0" t="s">
        <v>182</v>
      </c>
      <c r="B5" s="0" t="s">
        <v>424</v>
      </c>
      <c r="C5" s="0" t="n">
        <v>3</v>
      </c>
      <c r="D5" s="0" t="n">
        <f aca="false">(10)/1/$B$1</f>
        <v>3.32645865211895</v>
      </c>
      <c r="E5" s="0" t="s">
        <v>716</v>
      </c>
      <c r="F5" s="0" t="s">
        <v>717</v>
      </c>
      <c r="G5" s="0" t="s">
        <v>160</v>
      </c>
      <c r="H5" s="0" t="s">
        <v>718</v>
      </c>
      <c r="I5" s="0" t="s">
        <v>712</v>
      </c>
    </row>
    <row r="6" customFormat="false" ht="15" hidden="false" customHeight="false" outlineLevel="0" collapsed="false">
      <c r="A6" s="0" t="s">
        <v>663</v>
      </c>
      <c r="B6" s="0" t="s">
        <v>157</v>
      </c>
      <c r="C6" s="0" t="n">
        <v>7</v>
      </c>
      <c r="D6" s="0" t="n">
        <f aca="false">(30)/1/$B$1</f>
        <v>9.97937595635686</v>
      </c>
      <c r="E6" s="0" t="s">
        <v>719</v>
      </c>
      <c r="F6" s="0" t="s">
        <v>720</v>
      </c>
      <c r="G6" s="0" t="s">
        <v>162</v>
      </c>
      <c r="H6" s="0" t="s">
        <v>721</v>
      </c>
      <c r="I6" s="0" t="s">
        <v>712</v>
      </c>
    </row>
    <row r="7" customFormat="false" ht="15" hidden="false" customHeight="false" outlineLevel="0" collapsed="false">
      <c r="A7" s="0" t="s">
        <v>665</v>
      </c>
      <c r="B7" s="0" t="s">
        <v>424</v>
      </c>
      <c r="C7" s="0" t="n">
        <v>6.5</v>
      </c>
      <c r="D7" s="0" t="n">
        <f aca="false">(25)/1/$B$1</f>
        <v>8.31614663029739</v>
      </c>
      <c r="E7" s="0" t="s">
        <v>722</v>
      </c>
      <c r="F7" s="0" t="s">
        <v>723</v>
      </c>
      <c r="G7" s="0" t="s">
        <v>165</v>
      </c>
      <c r="H7" s="0" t="s">
        <v>724</v>
      </c>
      <c r="I7" s="0" t="s">
        <v>725</v>
      </c>
    </row>
    <row r="8" customFormat="false" ht="15" hidden="false" customHeight="false" outlineLevel="0" collapsed="false">
      <c r="A8" s="0" t="s">
        <v>159</v>
      </c>
      <c r="B8" s="0" t="s">
        <v>157</v>
      </c>
      <c r="C8" s="0" t="n">
        <v>8</v>
      </c>
      <c r="D8" s="0" t="n">
        <f aca="false">(32)/1/$B$1</f>
        <v>10.6446676867807</v>
      </c>
      <c r="E8" s="0" t="s">
        <v>726</v>
      </c>
      <c r="F8" s="0" t="s">
        <v>727</v>
      </c>
      <c r="G8" s="0" t="s">
        <v>171</v>
      </c>
      <c r="H8" s="0" t="s">
        <v>728</v>
      </c>
      <c r="I8" s="0" t="s">
        <v>725</v>
      </c>
    </row>
    <row r="9" customFormat="false" ht="15" hidden="false" customHeight="false" outlineLevel="0" collapsed="false">
      <c r="A9" s="0" t="s">
        <v>161</v>
      </c>
      <c r="B9" s="0" t="s">
        <v>157</v>
      </c>
      <c r="C9" s="0" t="n">
        <v>9</v>
      </c>
      <c r="D9" s="0" t="n">
        <f aca="false">(32)/1/$B$1</f>
        <v>10.6446676867807</v>
      </c>
      <c r="E9" s="0" t="s">
        <v>726</v>
      </c>
      <c r="F9" s="0" t="s">
        <v>727</v>
      </c>
      <c r="G9" s="0" t="s">
        <v>171</v>
      </c>
      <c r="H9" s="0" t="s">
        <v>728</v>
      </c>
      <c r="I9" s="0" t="s">
        <v>725</v>
      </c>
    </row>
    <row r="10" customFormat="false" ht="15" hidden="false" customHeight="false" outlineLevel="0" collapsed="false">
      <c r="A10" s="0" t="s">
        <v>649</v>
      </c>
      <c r="B10" s="0" t="s">
        <v>157</v>
      </c>
      <c r="C10" s="0" t="n">
        <v>3</v>
      </c>
      <c r="D10" s="0" t="n">
        <f aca="false">(12+14)/2/$B$1</f>
        <v>4.32439624775464</v>
      </c>
      <c r="E10" s="0" t="s">
        <v>729</v>
      </c>
      <c r="F10" s="0" t="s">
        <v>730</v>
      </c>
      <c r="G10" s="0" t="s">
        <v>731</v>
      </c>
      <c r="H10" s="0" t="s">
        <v>732</v>
      </c>
      <c r="I10" s="0" t="s">
        <v>733</v>
      </c>
    </row>
    <row r="11" customFormat="false" ht="15" hidden="false" customHeight="false" outlineLevel="0" collapsed="false">
      <c r="A11" s="0" t="s">
        <v>647</v>
      </c>
      <c r="B11" s="0" t="s">
        <v>157</v>
      </c>
      <c r="C11" s="0" t="n">
        <v>2</v>
      </c>
      <c r="D11" s="0" t="n">
        <f aca="false">(12+14)/2/$B$1</f>
        <v>4.32439624775464</v>
      </c>
      <c r="E11" s="0" t="s">
        <v>729</v>
      </c>
      <c r="F11" s="0" t="s">
        <v>730</v>
      </c>
      <c r="G11" s="0" t="s">
        <v>731</v>
      </c>
      <c r="H11" s="0" t="s">
        <v>732</v>
      </c>
      <c r="I11" s="0" t="s">
        <v>733</v>
      </c>
    </row>
    <row r="12" customFormat="false" ht="15" hidden="false" customHeight="false" outlineLevel="0" collapsed="false">
      <c r="A12" s="0" t="s">
        <v>637</v>
      </c>
      <c r="B12" s="0" t="s">
        <v>436</v>
      </c>
      <c r="C12" s="0" t="n">
        <v>0.5</v>
      </c>
      <c r="D12" s="0" t="n">
        <f aca="false">(10)/1/$B$1</f>
        <v>3.32645865211895</v>
      </c>
      <c r="E12" s="0" t="s">
        <v>716</v>
      </c>
      <c r="F12" s="0" t="s">
        <v>734</v>
      </c>
      <c r="G12" s="0" t="s">
        <v>162</v>
      </c>
      <c r="H12" s="0" t="s">
        <v>735</v>
      </c>
      <c r="I12" s="0" t="s">
        <v>725</v>
      </c>
    </row>
    <row r="14" customFormat="false" ht="15" hidden="false" customHeight="false" outlineLevel="0" collapsed="false">
      <c r="A14" s="0" t="s">
        <v>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2026-10-13T10:05:44Z</dcterms:created>
  <dc:creator>openpyxl</dc:creator>
  <dc:description/>
  <dc:language>en-US</dc:language>
  <cp:lastModifiedBy>Yuriy Varvashenya</cp:lastModifiedBy>
  <dcterms:modified xsi:type="dcterms:W3CDTF">2026-10-13T11:00:45Z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